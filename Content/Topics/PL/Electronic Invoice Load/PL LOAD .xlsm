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niglon\Desktop\"/>
    </mc:Choice>
  </mc:AlternateContent>
  <bookViews>
    <workbookView xWindow="0" yWindow="456" windowWidth="28800" windowHeight="16620" tabRatio="500" activeTab="1"/>
  </bookViews>
  <sheets>
    <sheet name="open_pinv" sheetId="4" r:id="rId1"/>
    <sheet name="LOAD" sheetId="2" r:id="rId2"/>
    <sheet name="Format" sheetId="3" r:id="rId3"/>
    <sheet name="Sample" sheetId="5" r:id="rId4"/>
  </sheets>
  <definedNames>
    <definedName name="_xlnm._FilterDatabase" localSheetId="0" hidden="1">open_pinv!$A$1:$AM$54</definedName>
    <definedName name="_xlnm._FilterDatabase" localSheetId="3" hidden="1">Sample!$A$1:$AM$54</definedName>
    <definedName name="ain_amount" localSheetId="3">Sample!$C$4:$C$394754</definedName>
    <definedName name="ain_amount">open_pinv!$C$4:$C$394754</definedName>
    <definedName name="ain_desc" localSheetId="3">Sample!$J$4:$J$394754</definedName>
    <definedName name="ain_desc">open_pinv!$J$4:$J$394754</definedName>
    <definedName name="ain_discamt" localSheetId="3">Sample!$I$4:$I$394754</definedName>
    <definedName name="ain_discamt">open_pinv!$I$4:$I$394754</definedName>
    <definedName name="ain_discdt" localSheetId="3">Sample!$H$4:$H$394754</definedName>
    <definedName name="ain_discdt">open_pinv!$H$4:$H$394754</definedName>
    <definedName name="ain_disttype" localSheetId="3">Sample!$N$4:$N$394754</definedName>
    <definedName name="ain_disttype">open_pinv!$N$4:$N$394754</definedName>
    <definedName name="ain_duedt" localSheetId="3">Sample!$G$4:$G$394754</definedName>
    <definedName name="ain_duedt">open_pinv!$G$4:$G$394754</definedName>
    <definedName name="ain_fdate" localSheetId="3">Sample!$AE$4:$AE$394753</definedName>
    <definedName name="ain_fdate">open_pinv!$AE$4:$AE$394753</definedName>
    <definedName name="ain_idate" localSheetId="3">Sample!$B$4:$B$394754</definedName>
    <definedName name="ain_idate">open_pinv!$B$4:$B$394754</definedName>
    <definedName name="ain_netamt" localSheetId="3">Sample!$W$4:$W$394754</definedName>
    <definedName name="ain_netamt">open_pinv!$W$4:$W$394754</definedName>
    <definedName name="ain_supref" localSheetId="3">Sample!$M$4:$M$394754</definedName>
    <definedName name="ain_supref">open_pinv!$M$4:$M$394754</definedName>
    <definedName name="ain_taxamt" localSheetId="3">Sample!$F$4:$F$394754</definedName>
    <definedName name="ain_taxamt">open_pinv!$F$4:$F$394754</definedName>
    <definedName name="anal" localSheetId="3">Sample!$AD$4:$AD$394753</definedName>
    <definedName name="anal">open_pinv!$AD$4:$AD$394753</definedName>
    <definedName name="anal_type" localSheetId="3">Sample!$AC$4:$AC$394753</definedName>
    <definedName name="anal_type">open_pinv!$AC$4:$AC$394753</definedName>
    <definedName name="avm_num" localSheetId="3">Sample!$A$4:$A$394754</definedName>
    <definedName name="avm_num">open_pinv!$A$4:$A$394754</definedName>
    <definedName name="coj_type" localSheetId="3">Sample!$E$4:$E$394754</definedName>
    <definedName name="coj_type">open_pinv!$E$4:$E$394754</definedName>
    <definedName name="cur_code" localSheetId="3">Sample!$P$4:$P$394754</definedName>
    <definedName name="cur_code">open_pinv!$P$4:$P$394754</definedName>
    <definedName name="job_num" localSheetId="3">Sample!$O$4:$O$394754</definedName>
    <definedName name="job_num">open_pinv!$O$4:$O$394754</definedName>
    <definedName name="new_ain_hcode" localSheetId="3">Sample!$K$4:$K$394754</definedName>
    <definedName name="new_ain_hcode">open_pinv!$K$4:$K$394754</definedName>
    <definedName name="ohd_num" localSheetId="3">Sample!$L$4:$L$394754</definedName>
    <definedName name="ohd_num">open_pinv!$L$4:$L$394754</definedName>
    <definedName name="P20_" localSheetId="3">Sample!$AI$5:$AI$54</definedName>
    <definedName name="P20_">open_pinv!$AI$5:$AI$54</definedName>
    <definedName name="Quotes">LOAD!$A$2:$A$1048576</definedName>
    <definedName name="source" localSheetId="3">Sample!$D$4:$D$394754</definedName>
    <definedName name="source">open_pinv!$D$4:$D$394754</definedName>
    <definedName name="summ" localSheetId="3">Sample!$AF$4:$AF$394753</definedName>
    <definedName name="summ">open_pinv!$AF$4:$AF$394753</definedName>
    <definedName name="summ2" localSheetId="3">Sample!$X$4:$X$394754</definedName>
    <definedName name="summ2">open_pinv!$X$4:$X$394754</definedName>
    <definedName name="tax_code" localSheetId="3">Sample!$AI$4:$AI$394754</definedName>
    <definedName name="tax_code">open_pinv!$AI$4:$AI$394754</definedName>
    <definedName name="vat_code" localSheetId="3">Sample!$U$4:$U$394754</definedName>
    <definedName name="vat_code">open_pinv!$U$4:$U$394754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" i="4" l="1"/>
  <c r="AG3" i="4"/>
  <c r="W3" i="4"/>
  <c r="AB3" i="4"/>
  <c r="V3" i="4"/>
  <c r="H3" i="4"/>
  <c r="G3" i="4"/>
  <c r="AI125" i="5"/>
  <c r="AG125" i="5"/>
  <c r="W125" i="5"/>
  <c r="AB125" i="5"/>
  <c r="V125" i="5"/>
  <c r="H125" i="5"/>
  <c r="G125" i="5"/>
  <c r="AI124" i="5"/>
  <c r="AG124" i="5"/>
  <c r="W124" i="5"/>
  <c r="AB124" i="5"/>
  <c r="V124" i="5"/>
  <c r="H124" i="5"/>
  <c r="G124" i="5"/>
  <c r="AI123" i="5"/>
  <c r="AG123" i="5"/>
  <c r="W123" i="5"/>
  <c r="AB123" i="5"/>
  <c r="V123" i="5"/>
  <c r="H123" i="5"/>
  <c r="G123" i="5"/>
  <c r="AI122" i="5"/>
  <c r="AG122" i="5"/>
  <c r="W122" i="5"/>
  <c r="AB122" i="5"/>
  <c r="V122" i="5"/>
  <c r="H122" i="5"/>
  <c r="G122" i="5"/>
  <c r="AI121" i="5"/>
  <c r="AG121" i="5"/>
  <c r="W121" i="5"/>
  <c r="AB121" i="5"/>
  <c r="V121" i="5"/>
  <c r="H121" i="5"/>
  <c r="G121" i="5"/>
  <c r="AI120" i="5"/>
  <c r="AG120" i="5"/>
  <c r="W120" i="5"/>
  <c r="AB120" i="5"/>
  <c r="V120" i="5"/>
  <c r="H120" i="5"/>
  <c r="G120" i="5"/>
  <c r="AI119" i="5"/>
  <c r="AG119" i="5"/>
  <c r="W119" i="5"/>
  <c r="AB119" i="5"/>
  <c r="V119" i="5"/>
  <c r="H119" i="5"/>
  <c r="G119" i="5"/>
  <c r="AI118" i="5"/>
  <c r="AG118" i="5"/>
  <c r="W118" i="5"/>
  <c r="AB118" i="5"/>
  <c r="V118" i="5"/>
  <c r="H118" i="5"/>
  <c r="G118" i="5"/>
  <c r="AI117" i="5"/>
  <c r="AG117" i="5"/>
  <c r="W117" i="5"/>
  <c r="AB117" i="5"/>
  <c r="V117" i="5"/>
  <c r="H117" i="5"/>
  <c r="G117" i="5"/>
  <c r="AI116" i="5"/>
  <c r="AG116" i="5"/>
  <c r="W116" i="5"/>
  <c r="AB116" i="5"/>
  <c r="V116" i="5"/>
  <c r="H116" i="5"/>
  <c r="G116" i="5"/>
  <c r="AI115" i="5"/>
  <c r="AG115" i="5"/>
  <c r="W115" i="5"/>
  <c r="AB115" i="5"/>
  <c r="V115" i="5"/>
  <c r="H115" i="5"/>
  <c r="G115" i="5"/>
  <c r="AI114" i="5"/>
  <c r="AG114" i="5"/>
  <c r="W114" i="5"/>
  <c r="AB114" i="5"/>
  <c r="V114" i="5"/>
  <c r="H114" i="5"/>
  <c r="G114" i="5"/>
  <c r="AI113" i="5"/>
  <c r="AG113" i="5"/>
  <c r="W113" i="5"/>
  <c r="AB113" i="5"/>
  <c r="V113" i="5"/>
  <c r="H113" i="5"/>
  <c r="G113" i="5"/>
  <c r="AI112" i="5"/>
  <c r="AG112" i="5"/>
  <c r="W112" i="5"/>
  <c r="AB112" i="5"/>
  <c r="V112" i="5"/>
  <c r="H112" i="5"/>
  <c r="G112" i="5"/>
  <c r="AI111" i="5"/>
  <c r="AG111" i="5"/>
  <c r="W111" i="5"/>
  <c r="AB111" i="5"/>
  <c r="V111" i="5"/>
  <c r="H111" i="5"/>
  <c r="G111" i="5"/>
  <c r="AI110" i="5"/>
  <c r="AG110" i="5"/>
  <c r="W110" i="5"/>
  <c r="AB110" i="5"/>
  <c r="V110" i="5"/>
  <c r="H110" i="5"/>
  <c r="G110" i="5"/>
  <c r="AI109" i="5"/>
  <c r="AG109" i="5"/>
  <c r="W109" i="5"/>
  <c r="AB109" i="5"/>
  <c r="V109" i="5"/>
  <c r="H109" i="5"/>
  <c r="G109" i="5"/>
  <c r="AI108" i="5"/>
  <c r="AG108" i="5"/>
  <c r="W108" i="5"/>
  <c r="AB108" i="5"/>
  <c r="V108" i="5"/>
  <c r="H108" i="5"/>
  <c r="G108" i="5"/>
  <c r="AI107" i="5"/>
  <c r="AG107" i="5"/>
  <c r="W107" i="5"/>
  <c r="AB107" i="5"/>
  <c r="V107" i="5"/>
  <c r="H107" i="5"/>
  <c r="G107" i="5"/>
  <c r="AI106" i="5"/>
  <c r="AG106" i="5"/>
  <c r="W106" i="5"/>
  <c r="AB106" i="5"/>
  <c r="V106" i="5"/>
  <c r="H106" i="5"/>
  <c r="G106" i="5"/>
  <c r="AI105" i="5"/>
  <c r="AG105" i="5"/>
  <c r="W105" i="5"/>
  <c r="AB105" i="5"/>
  <c r="V105" i="5"/>
  <c r="H105" i="5"/>
  <c r="G105" i="5"/>
  <c r="AI104" i="5"/>
  <c r="AG104" i="5"/>
  <c r="W104" i="5"/>
  <c r="AB104" i="5"/>
  <c r="V104" i="5"/>
  <c r="H104" i="5"/>
  <c r="G104" i="5"/>
  <c r="AI103" i="5"/>
  <c r="AG103" i="5"/>
  <c r="W103" i="5"/>
  <c r="AB103" i="5"/>
  <c r="V103" i="5"/>
  <c r="H103" i="5"/>
  <c r="G103" i="5"/>
  <c r="AI102" i="5"/>
  <c r="AG102" i="5"/>
  <c r="W102" i="5"/>
  <c r="AB102" i="5"/>
  <c r="V102" i="5"/>
  <c r="H102" i="5"/>
  <c r="G102" i="5"/>
  <c r="AI101" i="5"/>
  <c r="AG101" i="5"/>
  <c r="W101" i="5"/>
  <c r="AB101" i="5"/>
  <c r="V101" i="5"/>
  <c r="H101" i="5"/>
  <c r="G101" i="5"/>
  <c r="AI100" i="5"/>
  <c r="AG100" i="5"/>
  <c r="W100" i="5"/>
  <c r="AB100" i="5"/>
  <c r="V100" i="5"/>
  <c r="H100" i="5"/>
  <c r="G100" i="5"/>
  <c r="AI99" i="5"/>
  <c r="AG99" i="5"/>
  <c r="W99" i="5"/>
  <c r="AB99" i="5"/>
  <c r="V99" i="5"/>
  <c r="H99" i="5"/>
  <c r="G99" i="5"/>
  <c r="AI98" i="5"/>
  <c r="AG98" i="5"/>
  <c r="W98" i="5"/>
  <c r="AB98" i="5"/>
  <c r="V98" i="5"/>
  <c r="H98" i="5"/>
  <c r="G98" i="5"/>
  <c r="AI97" i="5"/>
  <c r="AG97" i="5"/>
  <c r="W97" i="5"/>
  <c r="AB97" i="5"/>
  <c r="V97" i="5"/>
  <c r="H97" i="5"/>
  <c r="G97" i="5"/>
  <c r="AI96" i="5"/>
  <c r="AG96" i="5"/>
  <c r="W96" i="5"/>
  <c r="AB96" i="5"/>
  <c r="V96" i="5"/>
  <c r="H96" i="5"/>
  <c r="G96" i="5"/>
  <c r="AI95" i="5"/>
  <c r="AG95" i="5"/>
  <c r="W95" i="5"/>
  <c r="AB95" i="5"/>
  <c r="V95" i="5"/>
  <c r="H95" i="5"/>
  <c r="G95" i="5"/>
  <c r="AI94" i="5"/>
  <c r="AG94" i="5"/>
  <c r="W94" i="5"/>
  <c r="AB94" i="5"/>
  <c r="V94" i="5"/>
  <c r="H94" i="5"/>
  <c r="G94" i="5"/>
  <c r="AI93" i="5"/>
  <c r="AG93" i="5"/>
  <c r="W93" i="5"/>
  <c r="AB93" i="5"/>
  <c r="V93" i="5"/>
  <c r="H93" i="5"/>
  <c r="G93" i="5"/>
  <c r="AI92" i="5"/>
  <c r="AG92" i="5"/>
  <c r="W92" i="5"/>
  <c r="AB92" i="5"/>
  <c r="V92" i="5"/>
  <c r="H92" i="5"/>
  <c r="G92" i="5"/>
  <c r="AI91" i="5"/>
  <c r="AG91" i="5"/>
  <c r="W91" i="5"/>
  <c r="AB91" i="5"/>
  <c r="V91" i="5"/>
  <c r="H91" i="5"/>
  <c r="G91" i="5"/>
  <c r="AI90" i="5"/>
  <c r="AG90" i="5"/>
  <c r="W90" i="5"/>
  <c r="AB90" i="5"/>
  <c r="V90" i="5"/>
  <c r="H90" i="5"/>
  <c r="G90" i="5"/>
  <c r="AI89" i="5"/>
  <c r="AG89" i="5"/>
  <c r="W89" i="5"/>
  <c r="AB89" i="5"/>
  <c r="V89" i="5"/>
  <c r="H89" i="5"/>
  <c r="G89" i="5"/>
  <c r="AI88" i="5"/>
  <c r="AG88" i="5"/>
  <c r="W88" i="5"/>
  <c r="AB88" i="5"/>
  <c r="V88" i="5"/>
  <c r="H88" i="5"/>
  <c r="G88" i="5"/>
  <c r="AI87" i="5"/>
  <c r="AG87" i="5"/>
  <c r="W87" i="5"/>
  <c r="AB87" i="5"/>
  <c r="V87" i="5"/>
  <c r="H87" i="5"/>
  <c r="G87" i="5"/>
  <c r="AI86" i="5"/>
  <c r="AG86" i="5"/>
  <c r="W86" i="5"/>
  <c r="AB86" i="5"/>
  <c r="V86" i="5"/>
  <c r="H86" i="5"/>
  <c r="G86" i="5"/>
  <c r="AI85" i="5"/>
  <c r="AG85" i="5"/>
  <c r="W85" i="5"/>
  <c r="AB85" i="5"/>
  <c r="V85" i="5"/>
  <c r="H85" i="5"/>
  <c r="G85" i="5"/>
  <c r="AI84" i="5"/>
  <c r="AG84" i="5"/>
  <c r="W84" i="5"/>
  <c r="AB84" i="5"/>
  <c r="V84" i="5"/>
  <c r="H84" i="5"/>
  <c r="G84" i="5"/>
  <c r="AI83" i="5"/>
  <c r="AG83" i="5"/>
  <c r="W83" i="5"/>
  <c r="AB83" i="5"/>
  <c r="V83" i="5"/>
  <c r="H83" i="5"/>
  <c r="G83" i="5"/>
  <c r="AI82" i="5"/>
  <c r="AG82" i="5"/>
  <c r="W82" i="5"/>
  <c r="AB82" i="5"/>
  <c r="V82" i="5"/>
  <c r="H82" i="5"/>
  <c r="G82" i="5"/>
  <c r="AI81" i="5"/>
  <c r="AG81" i="5"/>
  <c r="W81" i="5"/>
  <c r="AB81" i="5"/>
  <c r="V81" i="5"/>
  <c r="H81" i="5"/>
  <c r="G81" i="5"/>
  <c r="AI80" i="5"/>
  <c r="AG80" i="5"/>
  <c r="W80" i="5"/>
  <c r="AB80" i="5"/>
  <c r="V80" i="5"/>
  <c r="H80" i="5"/>
  <c r="G80" i="5"/>
  <c r="AI79" i="5"/>
  <c r="AG79" i="5"/>
  <c r="W79" i="5"/>
  <c r="AB79" i="5"/>
  <c r="V79" i="5"/>
  <c r="H79" i="5"/>
  <c r="G79" i="5"/>
  <c r="AI78" i="5"/>
  <c r="AG78" i="5"/>
  <c r="W78" i="5"/>
  <c r="AB78" i="5"/>
  <c r="V78" i="5"/>
  <c r="H78" i="5"/>
  <c r="G78" i="5"/>
  <c r="AI77" i="5"/>
  <c r="AG77" i="5"/>
  <c r="W77" i="5"/>
  <c r="AB77" i="5"/>
  <c r="V77" i="5"/>
  <c r="H77" i="5"/>
  <c r="G77" i="5"/>
  <c r="AI76" i="5"/>
  <c r="AG76" i="5"/>
  <c r="W76" i="5"/>
  <c r="AB76" i="5"/>
  <c r="V76" i="5"/>
  <c r="H76" i="5"/>
  <c r="G76" i="5"/>
  <c r="AI75" i="5"/>
  <c r="AG75" i="5"/>
  <c r="W75" i="5"/>
  <c r="AB75" i="5"/>
  <c r="V75" i="5"/>
  <c r="H75" i="5"/>
  <c r="G75" i="5"/>
  <c r="AI74" i="5"/>
  <c r="AG74" i="5"/>
  <c r="W74" i="5"/>
  <c r="AB74" i="5"/>
  <c r="V74" i="5"/>
  <c r="H74" i="5"/>
  <c r="G74" i="5"/>
  <c r="AI73" i="5"/>
  <c r="AG73" i="5"/>
  <c r="W73" i="5"/>
  <c r="AB73" i="5"/>
  <c r="V73" i="5"/>
  <c r="H73" i="5"/>
  <c r="G73" i="5"/>
  <c r="AI72" i="5"/>
  <c r="AG72" i="5"/>
  <c r="W72" i="5"/>
  <c r="AB72" i="5"/>
  <c r="V72" i="5"/>
  <c r="H72" i="5"/>
  <c r="G72" i="5"/>
  <c r="AI71" i="5"/>
  <c r="AG71" i="5"/>
  <c r="W71" i="5"/>
  <c r="AB71" i="5"/>
  <c r="V71" i="5"/>
  <c r="H71" i="5"/>
  <c r="G71" i="5"/>
  <c r="AI70" i="5"/>
  <c r="AG70" i="5"/>
  <c r="W70" i="5"/>
  <c r="AB70" i="5"/>
  <c r="V70" i="5"/>
  <c r="H70" i="5"/>
  <c r="G70" i="5"/>
  <c r="AI69" i="5"/>
  <c r="AG69" i="5"/>
  <c r="W69" i="5"/>
  <c r="AB69" i="5"/>
  <c r="V69" i="5"/>
  <c r="H69" i="5"/>
  <c r="G69" i="5"/>
  <c r="AI68" i="5"/>
  <c r="AG68" i="5"/>
  <c r="W68" i="5"/>
  <c r="AB68" i="5"/>
  <c r="V68" i="5"/>
  <c r="H68" i="5"/>
  <c r="G68" i="5"/>
  <c r="AI67" i="5"/>
  <c r="AG67" i="5"/>
  <c r="W67" i="5"/>
  <c r="AB67" i="5"/>
  <c r="V67" i="5"/>
  <c r="H67" i="5"/>
  <c r="G67" i="5"/>
  <c r="AI66" i="5"/>
  <c r="AG66" i="5"/>
  <c r="W66" i="5"/>
  <c r="AB66" i="5"/>
  <c r="V66" i="5"/>
  <c r="H66" i="5"/>
  <c r="G66" i="5"/>
  <c r="AI65" i="5"/>
  <c r="AG65" i="5"/>
  <c r="W65" i="5"/>
  <c r="AB65" i="5"/>
  <c r="V65" i="5"/>
  <c r="H65" i="5"/>
  <c r="G65" i="5"/>
  <c r="AI64" i="5"/>
  <c r="AG64" i="5"/>
  <c r="W64" i="5"/>
  <c r="AB64" i="5"/>
  <c r="V64" i="5"/>
  <c r="H64" i="5"/>
  <c r="G64" i="5"/>
  <c r="AI63" i="5"/>
  <c r="AG63" i="5"/>
  <c r="W63" i="5"/>
  <c r="AB63" i="5"/>
  <c r="V63" i="5"/>
  <c r="H63" i="5"/>
  <c r="G63" i="5"/>
  <c r="AI62" i="5"/>
  <c r="AG62" i="5"/>
  <c r="W62" i="5"/>
  <c r="AB62" i="5"/>
  <c r="V62" i="5"/>
  <c r="H62" i="5"/>
  <c r="G62" i="5"/>
  <c r="AI61" i="5"/>
  <c r="AG61" i="5"/>
  <c r="W61" i="5"/>
  <c r="AB61" i="5"/>
  <c r="V61" i="5"/>
  <c r="H61" i="5"/>
  <c r="G61" i="5"/>
  <c r="AI60" i="5"/>
  <c r="AG60" i="5"/>
  <c r="W60" i="5"/>
  <c r="AB60" i="5"/>
  <c r="V60" i="5"/>
  <c r="H60" i="5"/>
  <c r="G60" i="5"/>
  <c r="AI59" i="5"/>
  <c r="AG59" i="5"/>
  <c r="W59" i="5"/>
  <c r="AB59" i="5"/>
  <c r="V59" i="5"/>
  <c r="H59" i="5"/>
  <c r="G59" i="5"/>
  <c r="AI58" i="5"/>
  <c r="AG58" i="5"/>
  <c r="W58" i="5"/>
  <c r="AB58" i="5"/>
  <c r="V58" i="5"/>
  <c r="H58" i="5"/>
  <c r="G58" i="5"/>
  <c r="AI57" i="5"/>
  <c r="AG57" i="5"/>
  <c r="W57" i="5"/>
  <c r="AB57" i="5"/>
  <c r="V57" i="5"/>
  <c r="H57" i="5"/>
  <c r="G57" i="5"/>
  <c r="AI56" i="5"/>
  <c r="AG56" i="5"/>
  <c r="W56" i="5"/>
  <c r="AB56" i="5"/>
  <c r="V56" i="5"/>
  <c r="H56" i="5"/>
  <c r="G56" i="5"/>
  <c r="AI55" i="5"/>
  <c r="AG55" i="5"/>
  <c r="W55" i="5"/>
  <c r="AB55" i="5"/>
  <c r="V55" i="5"/>
  <c r="H55" i="5"/>
  <c r="G55" i="5"/>
  <c r="AI54" i="5"/>
  <c r="AG54" i="5"/>
  <c r="W54" i="5"/>
  <c r="AB54" i="5"/>
  <c r="V54" i="5"/>
  <c r="H54" i="5"/>
  <c r="G54" i="5"/>
  <c r="AI53" i="5"/>
  <c r="AG53" i="5"/>
  <c r="W53" i="5"/>
  <c r="AB53" i="5"/>
  <c r="V53" i="5"/>
  <c r="H53" i="5"/>
  <c r="G53" i="5"/>
  <c r="AI52" i="5"/>
  <c r="AG52" i="5"/>
  <c r="W52" i="5"/>
  <c r="AB52" i="5"/>
  <c r="V52" i="5"/>
  <c r="H52" i="5"/>
  <c r="G52" i="5"/>
  <c r="AI51" i="5"/>
  <c r="AG51" i="5"/>
  <c r="W51" i="5"/>
  <c r="AB51" i="5"/>
  <c r="V51" i="5"/>
  <c r="H51" i="5"/>
  <c r="G51" i="5"/>
  <c r="AI50" i="5"/>
  <c r="AG50" i="5"/>
  <c r="W50" i="5"/>
  <c r="AB50" i="5"/>
  <c r="V50" i="5"/>
  <c r="H50" i="5"/>
  <c r="G50" i="5"/>
  <c r="AI49" i="5"/>
  <c r="AG49" i="5"/>
  <c r="W49" i="5"/>
  <c r="AB49" i="5"/>
  <c r="V49" i="5"/>
  <c r="H49" i="5"/>
  <c r="G49" i="5"/>
  <c r="AI48" i="5"/>
  <c r="AG48" i="5"/>
  <c r="W48" i="5"/>
  <c r="AB48" i="5"/>
  <c r="V48" i="5"/>
  <c r="H48" i="5"/>
  <c r="G48" i="5"/>
  <c r="AI47" i="5"/>
  <c r="AG47" i="5"/>
  <c r="W47" i="5"/>
  <c r="AB47" i="5"/>
  <c r="V47" i="5"/>
  <c r="H47" i="5"/>
  <c r="G47" i="5"/>
  <c r="AI46" i="5"/>
  <c r="AG46" i="5"/>
  <c r="W46" i="5"/>
  <c r="AB46" i="5"/>
  <c r="V46" i="5"/>
  <c r="H46" i="5"/>
  <c r="G46" i="5"/>
  <c r="AI45" i="5"/>
  <c r="AG45" i="5"/>
  <c r="W45" i="5"/>
  <c r="AB45" i="5"/>
  <c r="V45" i="5"/>
  <c r="H45" i="5"/>
  <c r="G45" i="5"/>
  <c r="AI44" i="5"/>
  <c r="AG44" i="5"/>
  <c r="W44" i="5"/>
  <c r="AB44" i="5"/>
  <c r="V44" i="5"/>
  <c r="H44" i="5"/>
  <c r="G44" i="5"/>
  <c r="AI43" i="5"/>
  <c r="AG43" i="5"/>
  <c r="W43" i="5"/>
  <c r="AB43" i="5"/>
  <c r="V43" i="5"/>
  <c r="H43" i="5"/>
  <c r="G43" i="5"/>
  <c r="AI42" i="5"/>
  <c r="AG42" i="5"/>
  <c r="W42" i="5"/>
  <c r="AB42" i="5"/>
  <c r="V42" i="5"/>
  <c r="H42" i="5"/>
  <c r="G42" i="5"/>
  <c r="AI41" i="5"/>
  <c r="AG41" i="5"/>
  <c r="W41" i="5"/>
  <c r="AB41" i="5"/>
  <c r="V41" i="5"/>
  <c r="H41" i="5"/>
  <c r="G41" i="5"/>
  <c r="AI40" i="5"/>
  <c r="AG40" i="5"/>
  <c r="W40" i="5"/>
  <c r="AB40" i="5"/>
  <c r="V40" i="5"/>
  <c r="H40" i="5"/>
  <c r="G40" i="5"/>
  <c r="AI39" i="5"/>
  <c r="AG39" i="5"/>
  <c r="W39" i="5"/>
  <c r="AB39" i="5"/>
  <c r="V39" i="5"/>
  <c r="H39" i="5"/>
  <c r="G39" i="5"/>
  <c r="AI38" i="5"/>
  <c r="AG38" i="5"/>
  <c r="W38" i="5"/>
  <c r="AB38" i="5"/>
  <c r="V38" i="5"/>
  <c r="H38" i="5"/>
  <c r="G38" i="5"/>
  <c r="AI37" i="5"/>
  <c r="AG37" i="5"/>
  <c r="W37" i="5"/>
  <c r="AB37" i="5"/>
  <c r="V37" i="5"/>
  <c r="H37" i="5"/>
  <c r="G37" i="5"/>
  <c r="AI36" i="5"/>
  <c r="AG36" i="5"/>
  <c r="W36" i="5"/>
  <c r="AB36" i="5"/>
  <c r="V36" i="5"/>
  <c r="H36" i="5"/>
  <c r="G36" i="5"/>
  <c r="AI35" i="5"/>
  <c r="AG35" i="5"/>
  <c r="W35" i="5"/>
  <c r="AB35" i="5"/>
  <c r="V35" i="5"/>
  <c r="H35" i="5"/>
  <c r="G35" i="5"/>
  <c r="AI34" i="5"/>
  <c r="AG34" i="5"/>
  <c r="W34" i="5"/>
  <c r="AB34" i="5"/>
  <c r="V34" i="5"/>
  <c r="H34" i="5"/>
  <c r="G34" i="5"/>
  <c r="AI33" i="5"/>
  <c r="AG33" i="5"/>
  <c r="W33" i="5"/>
  <c r="AB33" i="5"/>
  <c r="V33" i="5"/>
  <c r="H33" i="5"/>
  <c r="G33" i="5"/>
  <c r="AI32" i="5"/>
  <c r="AG32" i="5"/>
  <c r="W32" i="5"/>
  <c r="AB32" i="5"/>
  <c r="V32" i="5"/>
  <c r="H32" i="5"/>
  <c r="G32" i="5"/>
  <c r="AI31" i="5"/>
  <c r="AG31" i="5"/>
  <c r="W31" i="5"/>
  <c r="AB31" i="5"/>
  <c r="V31" i="5"/>
  <c r="H31" i="5"/>
  <c r="G31" i="5"/>
  <c r="AI30" i="5"/>
  <c r="AG30" i="5"/>
  <c r="W30" i="5"/>
  <c r="AB30" i="5"/>
  <c r="V30" i="5"/>
  <c r="H30" i="5"/>
  <c r="G30" i="5"/>
  <c r="AI29" i="5"/>
  <c r="AG29" i="5"/>
  <c r="W29" i="5"/>
  <c r="AB29" i="5"/>
  <c r="V29" i="5"/>
  <c r="H29" i="5"/>
  <c r="G29" i="5"/>
  <c r="AI28" i="5"/>
  <c r="AG28" i="5"/>
  <c r="W28" i="5"/>
  <c r="AB28" i="5"/>
  <c r="V28" i="5"/>
  <c r="H28" i="5"/>
  <c r="G28" i="5"/>
  <c r="AI27" i="5"/>
  <c r="AG27" i="5"/>
  <c r="W27" i="5"/>
  <c r="AB27" i="5"/>
  <c r="V27" i="5"/>
  <c r="H27" i="5"/>
  <c r="G27" i="5"/>
  <c r="AI26" i="5"/>
  <c r="AG26" i="5"/>
  <c r="W26" i="5"/>
  <c r="AB26" i="5"/>
  <c r="V26" i="5"/>
  <c r="H26" i="5"/>
  <c r="G26" i="5"/>
  <c r="AI25" i="5"/>
  <c r="AG25" i="5"/>
  <c r="W25" i="5"/>
  <c r="AB25" i="5"/>
  <c r="V25" i="5"/>
  <c r="H25" i="5"/>
  <c r="G25" i="5"/>
  <c r="AI24" i="5"/>
  <c r="AG24" i="5"/>
  <c r="W24" i="5"/>
  <c r="AB24" i="5"/>
  <c r="V24" i="5"/>
  <c r="H24" i="5"/>
  <c r="G24" i="5"/>
  <c r="AI23" i="5"/>
  <c r="AG23" i="5"/>
  <c r="W23" i="5"/>
  <c r="AB23" i="5"/>
  <c r="V23" i="5"/>
  <c r="H23" i="5"/>
  <c r="G23" i="5"/>
  <c r="AI22" i="5"/>
  <c r="AG22" i="5"/>
  <c r="W22" i="5"/>
  <c r="AB22" i="5"/>
  <c r="V22" i="5"/>
  <c r="H22" i="5"/>
  <c r="G22" i="5"/>
  <c r="AI21" i="5"/>
  <c r="AG21" i="5"/>
  <c r="W21" i="5"/>
  <c r="AB21" i="5"/>
  <c r="V21" i="5"/>
  <c r="H21" i="5"/>
  <c r="G21" i="5"/>
  <c r="AI20" i="5"/>
  <c r="AG20" i="5"/>
  <c r="W20" i="5"/>
  <c r="AB20" i="5"/>
  <c r="V20" i="5"/>
  <c r="H20" i="5"/>
  <c r="G20" i="5"/>
  <c r="AI19" i="5"/>
  <c r="AG19" i="5"/>
  <c r="W19" i="5"/>
  <c r="AB19" i="5"/>
  <c r="V19" i="5"/>
  <c r="H19" i="5"/>
  <c r="G19" i="5"/>
  <c r="AI18" i="5"/>
  <c r="AG18" i="5"/>
  <c r="W18" i="5"/>
  <c r="AB18" i="5"/>
  <c r="V18" i="5"/>
  <c r="H18" i="5"/>
  <c r="G18" i="5"/>
  <c r="AI17" i="5"/>
  <c r="AG17" i="5"/>
  <c r="W17" i="5"/>
  <c r="AB17" i="5"/>
  <c r="V17" i="5"/>
  <c r="H17" i="5"/>
  <c r="G17" i="5"/>
  <c r="AI16" i="5"/>
  <c r="AG16" i="5"/>
  <c r="W16" i="5"/>
  <c r="AB16" i="5"/>
  <c r="V16" i="5"/>
  <c r="H16" i="5"/>
  <c r="G16" i="5"/>
  <c r="AI15" i="5"/>
  <c r="AG15" i="5"/>
  <c r="W15" i="5"/>
  <c r="AB15" i="5"/>
  <c r="V15" i="5"/>
  <c r="H15" i="5"/>
  <c r="G15" i="5"/>
  <c r="AI14" i="5"/>
  <c r="AG14" i="5"/>
  <c r="W14" i="5"/>
  <c r="AB14" i="5"/>
  <c r="V14" i="5"/>
  <c r="H14" i="5"/>
  <c r="G14" i="5"/>
  <c r="AI13" i="5"/>
  <c r="AG13" i="5"/>
  <c r="W13" i="5"/>
  <c r="AB13" i="5"/>
  <c r="V13" i="5"/>
  <c r="H13" i="5"/>
  <c r="G13" i="5"/>
  <c r="AI12" i="5"/>
  <c r="AG12" i="5"/>
  <c r="W12" i="5"/>
  <c r="AB12" i="5"/>
  <c r="V12" i="5"/>
  <c r="H12" i="5"/>
  <c r="G12" i="5"/>
  <c r="AI11" i="5"/>
  <c r="AG11" i="5"/>
  <c r="W11" i="5"/>
  <c r="AB11" i="5"/>
  <c r="V11" i="5"/>
  <c r="H11" i="5"/>
  <c r="G11" i="5"/>
  <c r="AI10" i="5"/>
  <c r="AG10" i="5"/>
  <c r="W10" i="5"/>
  <c r="AB10" i="5"/>
  <c r="V10" i="5"/>
  <c r="H10" i="5"/>
  <c r="G10" i="5"/>
  <c r="AI9" i="5"/>
  <c r="AG9" i="5"/>
  <c r="W9" i="5"/>
  <c r="AB9" i="5"/>
  <c r="V9" i="5"/>
  <c r="H9" i="5"/>
  <c r="G9" i="5"/>
  <c r="AI8" i="5"/>
  <c r="AG8" i="5"/>
  <c r="W8" i="5"/>
  <c r="AB8" i="5"/>
  <c r="V8" i="5"/>
  <c r="H8" i="5"/>
  <c r="G8" i="5"/>
  <c r="AI7" i="5"/>
  <c r="AG7" i="5"/>
  <c r="W7" i="5"/>
  <c r="AB7" i="5"/>
  <c r="V7" i="5"/>
  <c r="H7" i="5"/>
  <c r="G7" i="5"/>
  <c r="AI6" i="5"/>
  <c r="AG6" i="5"/>
  <c r="W6" i="5"/>
  <c r="AB6" i="5"/>
  <c r="V6" i="5"/>
  <c r="H6" i="5"/>
  <c r="G6" i="5"/>
  <c r="AI5" i="5"/>
  <c r="AG5" i="5"/>
  <c r="W5" i="5"/>
  <c r="AB5" i="5"/>
  <c r="V5" i="5"/>
  <c r="H5" i="5"/>
  <c r="G5" i="5"/>
  <c r="AI4" i="5"/>
  <c r="AG4" i="5"/>
  <c r="W4" i="5"/>
  <c r="AB4" i="5"/>
  <c r="V4" i="5"/>
  <c r="H4" i="5"/>
  <c r="G4" i="5"/>
  <c r="V55" i="4"/>
  <c r="W55" i="4"/>
  <c r="AB55" i="4"/>
  <c r="AG55" i="4"/>
  <c r="AI55" i="4"/>
  <c r="V56" i="4"/>
  <c r="W56" i="4"/>
  <c r="AB56" i="4"/>
  <c r="AG56" i="4"/>
  <c r="AI56" i="4"/>
  <c r="V57" i="4"/>
  <c r="W57" i="4"/>
  <c r="AB57" i="4"/>
  <c r="AG57" i="4"/>
  <c r="AI57" i="4"/>
  <c r="V58" i="4"/>
  <c r="W58" i="4"/>
  <c r="AB58" i="4"/>
  <c r="AG58" i="4"/>
  <c r="AI58" i="4"/>
  <c r="V59" i="4"/>
  <c r="W59" i="4"/>
  <c r="AB59" i="4"/>
  <c r="AG59" i="4"/>
  <c r="AI59" i="4"/>
  <c r="V60" i="4"/>
  <c r="W60" i="4"/>
  <c r="AB60" i="4"/>
  <c r="AG60" i="4"/>
  <c r="AI60" i="4"/>
  <c r="V61" i="4"/>
  <c r="W61" i="4"/>
  <c r="AB61" i="4"/>
  <c r="AG61" i="4"/>
  <c r="AI61" i="4"/>
  <c r="V62" i="4"/>
  <c r="W62" i="4"/>
  <c r="AB62" i="4"/>
  <c r="AG62" i="4"/>
  <c r="AI62" i="4"/>
  <c r="V63" i="4"/>
  <c r="W63" i="4"/>
  <c r="AB63" i="4"/>
  <c r="AG63" i="4"/>
  <c r="AI63" i="4"/>
  <c r="V64" i="4"/>
  <c r="W64" i="4"/>
  <c r="AB64" i="4"/>
  <c r="AG64" i="4"/>
  <c r="AI64" i="4"/>
  <c r="V65" i="4"/>
  <c r="W65" i="4"/>
  <c r="AB65" i="4"/>
  <c r="AG65" i="4"/>
  <c r="AI65" i="4"/>
  <c r="V66" i="4"/>
  <c r="W66" i="4"/>
  <c r="AB66" i="4"/>
  <c r="AG66" i="4"/>
  <c r="AI66" i="4"/>
  <c r="V67" i="4"/>
  <c r="W67" i="4"/>
  <c r="AB67" i="4"/>
  <c r="AG67" i="4"/>
  <c r="AI67" i="4"/>
  <c r="V68" i="4"/>
  <c r="W68" i="4"/>
  <c r="AB68" i="4"/>
  <c r="AG68" i="4"/>
  <c r="AI68" i="4"/>
  <c r="V69" i="4"/>
  <c r="W69" i="4"/>
  <c r="AB69" i="4"/>
  <c r="AG69" i="4"/>
  <c r="AI69" i="4"/>
  <c r="V70" i="4"/>
  <c r="W70" i="4"/>
  <c r="AB70" i="4"/>
  <c r="AG70" i="4"/>
  <c r="AI70" i="4"/>
  <c r="V71" i="4"/>
  <c r="W71" i="4"/>
  <c r="AB71" i="4"/>
  <c r="AG71" i="4"/>
  <c r="AI71" i="4"/>
  <c r="V72" i="4"/>
  <c r="W72" i="4"/>
  <c r="AB72" i="4"/>
  <c r="AG72" i="4"/>
  <c r="AI72" i="4"/>
  <c r="V73" i="4"/>
  <c r="W73" i="4"/>
  <c r="AB73" i="4"/>
  <c r="AG73" i="4"/>
  <c r="AI73" i="4"/>
  <c r="V74" i="4"/>
  <c r="W74" i="4"/>
  <c r="AB74" i="4"/>
  <c r="AG74" i="4"/>
  <c r="AI74" i="4"/>
  <c r="V75" i="4"/>
  <c r="W75" i="4"/>
  <c r="AB75" i="4"/>
  <c r="AG75" i="4"/>
  <c r="AI75" i="4"/>
  <c r="V76" i="4"/>
  <c r="W76" i="4"/>
  <c r="AB76" i="4"/>
  <c r="AG76" i="4"/>
  <c r="AI76" i="4"/>
  <c r="V77" i="4"/>
  <c r="W77" i="4"/>
  <c r="AB77" i="4"/>
  <c r="AG77" i="4"/>
  <c r="AI77" i="4"/>
  <c r="V78" i="4"/>
  <c r="W78" i="4"/>
  <c r="AB78" i="4"/>
  <c r="AG78" i="4"/>
  <c r="AI78" i="4"/>
  <c r="V79" i="4"/>
  <c r="W79" i="4"/>
  <c r="AB79" i="4"/>
  <c r="AG79" i="4"/>
  <c r="AI79" i="4"/>
  <c r="V80" i="4"/>
  <c r="W80" i="4"/>
  <c r="AB80" i="4"/>
  <c r="AG80" i="4"/>
  <c r="AI80" i="4"/>
  <c r="V81" i="4"/>
  <c r="W81" i="4"/>
  <c r="AB81" i="4"/>
  <c r="AG81" i="4"/>
  <c r="AI81" i="4"/>
  <c r="V82" i="4"/>
  <c r="W82" i="4"/>
  <c r="AB82" i="4"/>
  <c r="AG82" i="4"/>
  <c r="AI82" i="4"/>
  <c r="V83" i="4"/>
  <c r="W83" i="4"/>
  <c r="AB83" i="4"/>
  <c r="AG83" i="4"/>
  <c r="AI83" i="4"/>
  <c r="V84" i="4"/>
  <c r="W84" i="4"/>
  <c r="AB84" i="4"/>
  <c r="AG84" i="4"/>
  <c r="AI84" i="4"/>
  <c r="V85" i="4"/>
  <c r="W85" i="4"/>
  <c r="AB85" i="4"/>
  <c r="AG85" i="4"/>
  <c r="AI85" i="4"/>
  <c r="V86" i="4"/>
  <c r="W86" i="4"/>
  <c r="AB86" i="4"/>
  <c r="AG86" i="4"/>
  <c r="AI86" i="4"/>
  <c r="V87" i="4"/>
  <c r="W87" i="4"/>
  <c r="AB87" i="4"/>
  <c r="AG87" i="4"/>
  <c r="AI87" i="4"/>
  <c r="V88" i="4"/>
  <c r="W88" i="4"/>
  <c r="AB88" i="4"/>
  <c r="AG88" i="4"/>
  <c r="AI88" i="4"/>
  <c r="V89" i="4"/>
  <c r="W89" i="4"/>
  <c r="AB89" i="4"/>
  <c r="AG89" i="4"/>
  <c r="AI89" i="4"/>
  <c r="V90" i="4"/>
  <c r="W90" i="4"/>
  <c r="AB90" i="4"/>
  <c r="AG90" i="4"/>
  <c r="AI90" i="4"/>
  <c r="V91" i="4"/>
  <c r="W91" i="4"/>
  <c r="AB91" i="4"/>
  <c r="AG91" i="4"/>
  <c r="AI91" i="4"/>
  <c r="V92" i="4"/>
  <c r="W92" i="4"/>
  <c r="AB92" i="4"/>
  <c r="AG92" i="4"/>
  <c r="AI92" i="4"/>
  <c r="V93" i="4"/>
  <c r="W93" i="4"/>
  <c r="AB93" i="4"/>
  <c r="AG93" i="4"/>
  <c r="AI93" i="4"/>
  <c r="V94" i="4"/>
  <c r="W94" i="4"/>
  <c r="AB94" i="4"/>
  <c r="AG94" i="4"/>
  <c r="AI94" i="4"/>
  <c r="V95" i="4"/>
  <c r="W95" i="4"/>
  <c r="AB95" i="4"/>
  <c r="AG95" i="4"/>
  <c r="AI95" i="4"/>
  <c r="V96" i="4"/>
  <c r="W96" i="4"/>
  <c r="AB96" i="4"/>
  <c r="AG96" i="4"/>
  <c r="AI96" i="4"/>
  <c r="V97" i="4"/>
  <c r="W97" i="4"/>
  <c r="AB97" i="4"/>
  <c r="AG97" i="4"/>
  <c r="AI97" i="4"/>
  <c r="V98" i="4"/>
  <c r="W98" i="4"/>
  <c r="AB98" i="4"/>
  <c r="AG98" i="4"/>
  <c r="AI98" i="4"/>
  <c r="V99" i="4"/>
  <c r="W99" i="4"/>
  <c r="AB99" i="4"/>
  <c r="AG99" i="4"/>
  <c r="AI99" i="4"/>
  <c r="V100" i="4"/>
  <c r="W100" i="4"/>
  <c r="AB100" i="4"/>
  <c r="AG100" i="4"/>
  <c r="AI100" i="4"/>
  <c r="V101" i="4"/>
  <c r="W101" i="4"/>
  <c r="AB101" i="4"/>
  <c r="AG101" i="4"/>
  <c r="AI101" i="4"/>
  <c r="V102" i="4"/>
  <c r="W102" i="4"/>
  <c r="AB102" i="4"/>
  <c r="AG102" i="4"/>
  <c r="AI102" i="4"/>
  <c r="V103" i="4"/>
  <c r="W103" i="4"/>
  <c r="AB103" i="4"/>
  <c r="AG103" i="4"/>
  <c r="AI103" i="4"/>
  <c r="V104" i="4"/>
  <c r="W104" i="4"/>
  <c r="AB104" i="4"/>
  <c r="AG104" i="4"/>
  <c r="AI104" i="4"/>
  <c r="V105" i="4"/>
  <c r="W105" i="4"/>
  <c r="AB105" i="4"/>
  <c r="AG105" i="4"/>
  <c r="AI105" i="4"/>
  <c r="V106" i="4"/>
  <c r="W106" i="4"/>
  <c r="AB106" i="4"/>
  <c r="AG106" i="4"/>
  <c r="AI106" i="4"/>
  <c r="V107" i="4"/>
  <c r="W107" i="4"/>
  <c r="AB107" i="4"/>
  <c r="AG107" i="4"/>
  <c r="AI107" i="4"/>
  <c r="V108" i="4"/>
  <c r="W108" i="4"/>
  <c r="AB108" i="4"/>
  <c r="AG108" i="4"/>
  <c r="AI108" i="4"/>
  <c r="V109" i="4"/>
  <c r="W109" i="4"/>
  <c r="AB109" i="4"/>
  <c r="AG109" i="4"/>
  <c r="AI109" i="4"/>
  <c r="V110" i="4"/>
  <c r="W110" i="4"/>
  <c r="AB110" i="4"/>
  <c r="AG110" i="4"/>
  <c r="AI110" i="4"/>
  <c r="V111" i="4"/>
  <c r="W111" i="4"/>
  <c r="AB111" i="4"/>
  <c r="AG111" i="4"/>
  <c r="AI111" i="4"/>
  <c r="V112" i="4"/>
  <c r="W112" i="4"/>
  <c r="AB112" i="4"/>
  <c r="AG112" i="4"/>
  <c r="AI112" i="4"/>
  <c r="V113" i="4"/>
  <c r="W113" i="4"/>
  <c r="AB113" i="4"/>
  <c r="AG113" i="4"/>
  <c r="AI113" i="4"/>
  <c r="V114" i="4"/>
  <c r="W114" i="4"/>
  <c r="AB114" i="4"/>
  <c r="AG114" i="4"/>
  <c r="AI114" i="4"/>
  <c r="V115" i="4"/>
  <c r="W115" i="4"/>
  <c r="AB115" i="4"/>
  <c r="AG115" i="4"/>
  <c r="AI115" i="4"/>
  <c r="V116" i="4"/>
  <c r="W116" i="4"/>
  <c r="AB116" i="4"/>
  <c r="AG116" i="4"/>
  <c r="AI116" i="4"/>
  <c r="V117" i="4"/>
  <c r="W117" i="4"/>
  <c r="AB117" i="4"/>
  <c r="AG117" i="4"/>
  <c r="AI117" i="4"/>
  <c r="V118" i="4"/>
  <c r="W118" i="4"/>
  <c r="AB118" i="4"/>
  <c r="AG118" i="4"/>
  <c r="AI118" i="4"/>
  <c r="V119" i="4"/>
  <c r="W119" i="4"/>
  <c r="AB119" i="4"/>
  <c r="AG119" i="4"/>
  <c r="AI119" i="4"/>
  <c r="V120" i="4"/>
  <c r="W120" i="4"/>
  <c r="AB120" i="4"/>
  <c r="AG120" i="4"/>
  <c r="AI120" i="4"/>
  <c r="V121" i="4"/>
  <c r="W121" i="4"/>
  <c r="AB121" i="4"/>
  <c r="AG121" i="4"/>
  <c r="AI121" i="4"/>
  <c r="V122" i="4"/>
  <c r="W122" i="4"/>
  <c r="AB122" i="4"/>
  <c r="AG122" i="4"/>
  <c r="AI122" i="4"/>
  <c r="V123" i="4"/>
  <c r="W123" i="4"/>
  <c r="AB123" i="4"/>
  <c r="AG123" i="4"/>
  <c r="AI123" i="4"/>
  <c r="V124" i="4"/>
  <c r="W124" i="4"/>
  <c r="AB124" i="4"/>
  <c r="AG124" i="4"/>
  <c r="AI124" i="4"/>
  <c r="V125" i="4"/>
  <c r="W125" i="4"/>
  <c r="AB125" i="4"/>
  <c r="AG125" i="4"/>
  <c r="AI125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" i="4"/>
  <c r="W6" i="4"/>
  <c r="W7" i="4"/>
  <c r="W8" i="4"/>
  <c r="W9" i="4"/>
  <c r="W10" i="4"/>
  <c r="W11" i="4"/>
  <c r="W12" i="4"/>
  <c r="W13" i="4"/>
  <c r="W14" i="4"/>
  <c r="W4" i="4"/>
  <c r="AI5" i="4"/>
  <c r="AL5" i="2"/>
  <c r="AI6" i="4"/>
  <c r="AL6" i="2"/>
  <c r="AI7" i="4"/>
  <c r="AL7" i="2"/>
  <c r="AI8" i="4"/>
  <c r="AL8" i="2"/>
  <c r="AI9" i="4"/>
  <c r="AL9" i="2"/>
  <c r="AI10" i="4"/>
  <c r="AL10" i="2"/>
  <c r="AI11" i="4"/>
  <c r="AL11" i="2"/>
  <c r="AI12" i="4"/>
  <c r="AL12" i="2"/>
  <c r="AI13" i="4"/>
  <c r="AL13" i="2"/>
  <c r="AI14" i="4"/>
  <c r="AL14" i="2"/>
  <c r="AI15" i="4"/>
  <c r="AL15" i="2"/>
  <c r="AI16" i="4"/>
  <c r="AL16" i="2"/>
  <c r="AI17" i="4"/>
  <c r="AL17" i="2"/>
  <c r="AI18" i="4"/>
  <c r="AL18" i="2"/>
  <c r="AI19" i="4"/>
  <c r="AL19" i="2"/>
  <c r="AI20" i="4"/>
  <c r="AL20" i="2"/>
  <c r="AI21" i="4"/>
  <c r="AL21" i="2"/>
  <c r="AI22" i="4"/>
  <c r="AL22" i="2"/>
  <c r="AI23" i="4"/>
  <c r="AL23" i="2"/>
  <c r="AI24" i="4"/>
  <c r="AL24" i="2"/>
  <c r="AI25" i="4"/>
  <c r="AL25" i="2"/>
  <c r="AI26" i="4"/>
  <c r="AL26" i="2"/>
  <c r="AI27" i="4"/>
  <c r="AL27" i="2"/>
  <c r="AI28" i="4"/>
  <c r="AL28" i="2"/>
  <c r="AI29" i="4"/>
  <c r="AL29" i="2"/>
  <c r="AI30" i="4"/>
  <c r="AL30" i="2"/>
  <c r="AI31" i="4"/>
  <c r="AL31" i="2"/>
  <c r="AI32" i="4"/>
  <c r="AL32" i="2"/>
  <c r="AI33" i="4"/>
  <c r="AL33" i="2"/>
  <c r="AI34" i="4"/>
  <c r="AL34" i="2"/>
  <c r="AI35" i="4"/>
  <c r="AL35" i="2"/>
  <c r="AI36" i="4"/>
  <c r="AL36" i="2"/>
  <c r="AI37" i="4"/>
  <c r="AL37" i="2"/>
  <c r="AI38" i="4"/>
  <c r="AL38" i="2"/>
  <c r="AI39" i="4"/>
  <c r="AL39" i="2"/>
  <c r="AI40" i="4"/>
  <c r="AL40" i="2"/>
  <c r="AI41" i="4"/>
  <c r="AL41" i="2"/>
  <c r="AI42" i="4"/>
  <c r="AL42" i="2"/>
  <c r="AI43" i="4"/>
  <c r="AL43" i="2"/>
  <c r="AI44" i="4"/>
  <c r="AL44" i="2"/>
  <c r="AI45" i="4"/>
  <c r="AL45" i="2"/>
  <c r="AI46" i="4"/>
  <c r="AL46" i="2"/>
  <c r="AI47" i="4"/>
  <c r="AL47" i="2"/>
  <c r="AI48" i="4"/>
  <c r="AL48" i="2"/>
  <c r="AI49" i="4"/>
  <c r="AL49" i="2"/>
  <c r="AI50" i="4"/>
  <c r="AL50" i="2"/>
  <c r="AI51" i="4"/>
  <c r="AL51" i="2"/>
  <c r="AI52" i="4"/>
  <c r="AL52" i="2"/>
  <c r="AI53" i="4"/>
  <c r="AL53" i="2"/>
  <c r="AI54" i="4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69" i="2"/>
  <c r="AL70" i="2"/>
  <c r="AL71" i="2"/>
  <c r="AL72" i="2"/>
  <c r="AL73" i="2"/>
  <c r="AL74" i="2"/>
  <c r="AL75" i="2"/>
  <c r="AL76" i="2"/>
  <c r="AL77" i="2"/>
  <c r="AL78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L103" i="2"/>
  <c r="AL104" i="2"/>
  <c r="AL105" i="2"/>
  <c r="AL106" i="2"/>
  <c r="AL107" i="2"/>
  <c r="AL108" i="2"/>
  <c r="AL109" i="2"/>
  <c r="AL110" i="2"/>
  <c r="AL111" i="2"/>
  <c r="AL112" i="2"/>
  <c r="AL113" i="2"/>
  <c r="AL114" i="2"/>
  <c r="AL115" i="2"/>
  <c r="AL116" i="2"/>
  <c r="AL117" i="2"/>
  <c r="AL118" i="2"/>
  <c r="AL119" i="2"/>
  <c r="AL120" i="2"/>
  <c r="AL121" i="2"/>
  <c r="AL122" i="2"/>
  <c r="AL123" i="2"/>
  <c r="AL124" i="2"/>
  <c r="AL125" i="2"/>
  <c r="AI4" i="4"/>
  <c r="AL4" i="2"/>
  <c r="AG5" i="4"/>
  <c r="AG6" i="4"/>
  <c r="AG7" i="4"/>
  <c r="AG8" i="4"/>
  <c r="AG9" i="4"/>
  <c r="AG10" i="4"/>
  <c r="AG11" i="4"/>
  <c r="AG12" i="4"/>
  <c r="AG13" i="4"/>
  <c r="AG14" i="4"/>
  <c r="AG15" i="4"/>
  <c r="AG16" i="4"/>
  <c r="AG17" i="4"/>
  <c r="AG18" i="4"/>
  <c r="AG19" i="4"/>
  <c r="AG20" i="4"/>
  <c r="AG21" i="4"/>
  <c r="AG22" i="4"/>
  <c r="AG23" i="4"/>
  <c r="AG24" i="4"/>
  <c r="AG25" i="4"/>
  <c r="AG26" i="4"/>
  <c r="AG27" i="4"/>
  <c r="AG28" i="4"/>
  <c r="AG29" i="4"/>
  <c r="AG30" i="4"/>
  <c r="AG31" i="4"/>
  <c r="AG32" i="4"/>
  <c r="AG33" i="4"/>
  <c r="AG34" i="4"/>
  <c r="AG35" i="4"/>
  <c r="AG36" i="4"/>
  <c r="AG37" i="4"/>
  <c r="AG38" i="4"/>
  <c r="AG39" i="4"/>
  <c r="AG40" i="4"/>
  <c r="AG41" i="4"/>
  <c r="AG42" i="4"/>
  <c r="AG43" i="4"/>
  <c r="AG44" i="4"/>
  <c r="AG45" i="4"/>
  <c r="AG46" i="4"/>
  <c r="AG47" i="4"/>
  <c r="AG48" i="4"/>
  <c r="AG49" i="4"/>
  <c r="AG50" i="4"/>
  <c r="AG51" i="4"/>
  <c r="AG52" i="4"/>
  <c r="AG53" i="4"/>
  <c r="AG54" i="4"/>
  <c r="AG4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4" i="4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6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4" i="2"/>
  <c r="AK75" i="2"/>
  <c r="AK76" i="2"/>
  <c r="AK77" i="2"/>
  <c r="AK78" i="2"/>
  <c r="AK79" i="2"/>
  <c r="AK80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3" i="2"/>
  <c r="AK94" i="2"/>
  <c r="AK95" i="2"/>
  <c r="AK96" i="2"/>
  <c r="AK97" i="2"/>
  <c r="AK98" i="2"/>
  <c r="AK99" i="2"/>
  <c r="AK100" i="2"/>
  <c r="AK101" i="2"/>
  <c r="AK102" i="2"/>
  <c r="AK103" i="2"/>
  <c r="AK104" i="2"/>
  <c r="AK105" i="2"/>
  <c r="AK106" i="2"/>
  <c r="AK107" i="2"/>
  <c r="AK108" i="2"/>
  <c r="AK109" i="2"/>
  <c r="AK110" i="2"/>
  <c r="AK111" i="2"/>
  <c r="AK112" i="2"/>
  <c r="AK113" i="2"/>
  <c r="AK114" i="2"/>
  <c r="AK115" i="2"/>
  <c r="AK116" i="2"/>
  <c r="AK117" i="2"/>
  <c r="AK118" i="2"/>
  <c r="AK119" i="2"/>
  <c r="AK120" i="2"/>
  <c r="AK121" i="2"/>
  <c r="AK122" i="2"/>
  <c r="AK123" i="2"/>
  <c r="AK124" i="2"/>
  <c r="AK125" i="2"/>
  <c r="AK4" i="2"/>
  <c r="AB5" i="4"/>
  <c r="AB6" i="4"/>
  <c r="AB7" i="4"/>
  <c r="AB8" i="4"/>
  <c r="AB9" i="4"/>
  <c r="AB10" i="4"/>
  <c r="AB11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4" i="4"/>
  <c r="AJ125" i="2"/>
  <c r="AE125" i="2"/>
  <c r="S125" i="2"/>
  <c r="N125" i="2"/>
  <c r="I125" i="2"/>
  <c r="D125" i="2"/>
  <c r="AF124" i="2"/>
  <c r="X124" i="2"/>
  <c r="P124" i="2"/>
  <c r="J124" i="2"/>
  <c r="E124" i="2"/>
  <c r="AG123" i="2"/>
  <c r="Y123" i="2"/>
  <c r="Q123" i="2"/>
  <c r="K123" i="2"/>
  <c r="F123" i="2"/>
  <c r="AH122" i="2"/>
  <c r="Z122" i="2"/>
  <c r="R122" i="2"/>
  <c r="M122" i="2"/>
  <c r="H122" i="2"/>
  <c r="AJ121" i="2"/>
  <c r="AE121" i="2"/>
  <c r="S121" i="2"/>
  <c r="N121" i="2"/>
  <c r="I121" i="2"/>
  <c r="D121" i="2"/>
  <c r="AF120" i="2"/>
  <c r="X120" i="2"/>
  <c r="P120" i="2"/>
  <c r="J120" i="2"/>
  <c r="E120" i="2"/>
  <c r="AG119" i="2"/>
  <c r="Y119" i="2"/>
  <c r="Q119" i="2"/>
  <c r="K119" i="2"/>
  <c r="F119" i="2"/>
  <c r="AH118" i="2"/>
  <c r="Z118" i="2"/>
  <c r="R118" i="2"/>
  <c r="M118" i="2"/>
  <c r="H118" i="2"/>
  <c r="AJ117" i="2"/>
  <c r="AE117" i="2"/>
  <c r="S117" i="2"/>
  <c r="N117" i="2"/>
  <c r="I117" i="2"/>
  <c r="D117" i="2"/>
  <c r="AF116" i="2"/>
  <c r="X116" i="2"/>
  <c r="P116" i="2"/>
  <c r="J116" i="2"/>
  <c r="E116" i="2"/>
  <c r="AG115" i="2"/>
  <c r="Y115" i="2"/>
  <c r="Q115" i="2"/>
  <c r="K115" i="2"/>
  <c r="F115" i="2"/>
  <c r="AH114" i="2"/>
  <c r="Z114" i="2"/>
  <c r="R114" i="2"/>
  <c r="M114" i="2"/>
  <c r="H114" i="2"/>
  <c r="AJ113" i="2"/>
  <c r="AE113" i="2"/>
  <c r="S113" i="2"/>
  <c r="N113" i="2"/>
  <c r="I113" i="2"/>
  <c r="D113" i="2"/>
  <c r="AF125" i="2"/>
  <c r="X125" i="2"/>
  <c r="P125" i="2"/>
  <c r="J125" i="2"/>
  <c r="E125" i="2"/>
  <c r="AG124" i="2"/>
  <c r="Y124" i="2"/>
  <c r="Q124" i="2"/>
  <c r="K124" i="2"/>
  <c r="F124" i="2"/>
  <c r="AH123" i="2"/>
  <c r="Z123" i="2"/>
  <c r="R123" i="2"/>
  <c r="M123" i="2"/>
  <c r="H123" i="2"/>
  <c r="AJ122" i="2"/>
  <c r="AE122" i="2"/>
  <c r="S122" i="2"/>
  <c r="N122" i="2"/>
  <c r="I122" i="2"/>
  <c r="D122" i="2"/>
  <c r="AF121" i="2"/>
  <c r="X121" i="2"/>
  <c r="P121" i="2"/>
  <c r="J121" i="2"/>
  <c r="E121" i="2"/>
  <c r="AG120" i="2"/>
  <c r="Y120" i="2"/>
  <c r="Q120" i="2"/>
  <c r="K120" i="2"/>
  <c r="F120" i="2"/>
  <c r="AH119" i="2"/>
  <c r="Z119" i="2"/>
  <c r="R119" i="2"/>
  <c r="M119" i="2"/>
  <c r="H119" i="2"/>
  <c r="AJ118" i="2"/>
  <c r="AE118" i="2"/>
  <c r="S118" i="2"/>
  <c r="N118" i="2"/>
  <c r="I118" i="2"/>
  <c r="D118" i="2"/>
  <c r="AF117" i="2"/>
  <c r="X117" i="2"/>
  <c r="P117" i="2"/>
  <c r="J117" i="2"/>
  <c r="E117" i="2"/>
  <c r="AG116" i="2"/>
  <c r="Y116" i="2"/>
  <c r="Q116" i="2"/>
  <c r="K116" i="2"/>
  <c r="F116" i="2"/>
  <c r="AH115" i="2"/>
  <c r="Z115" i="2"/>
  <c r="R115" i="2"/>
  <c r="M115" i="2"/>
  <c r="H115" i="2"/>
  <c r="AJ114" i="2"/>
  <c r="AE114" i="2"/>
  <c r="S114" i="2"/>
  <c r="N114" i="2"/>
  <c r="I114" i="2"/>
  <c r="D114" i="2"/>
  <c r="AF113" i="2"/>
  <c r="X113" i="2"/>
  <c r="P113" i="2"/>
  <c r="J113" i="2"/>
  <c r="E113" i="2"/>
  <c r="AG112" i="2"/>
  <c r="Y112" i="2"/>
  <c r="Q112" i="2"/>
  <c r="K112" i="2"/>
  <c r="F112" i="2"/>
  <c r="AH111" i="2"/>
  <c r="Z111" i="2"/>
  <c r="R111" i="2"/>
  <c r="M111" i="2"/>
  <c r="H111" i="2"/>
  <c r="AJ110" i="2"/>
  <c r="AE110" i="2"/>
  <c r="S110" i="2"/>
  <c r="N110" i="2"/>
  <c r="I110" i="2"/>
  <c r="D110" i="2"/>
  <c r="AF109" i="2"/>
  <c r="X109" i="2"/>
  <c r="P109" i="2"/>
  <c r="J109" i="2"/>
  <c r="E109" i="2"/>
  <c r="AG108" i="2"/>
  <c r="Y108" i="2"/>
  <c r="Q108" i="2"/>
  <c r="K108" i="2"/>
  <c r="F108" i="2"/>
  <c r="AH107" i="2"/>
  <c r="Z107" i="2"/>
  <c r="R107" i="2"/>
  <c r="M107" i="2"/>
  <c r="H107" i="2"/>
  <c r="AJ106" i="2"/>
  <c r="AE106" i="2"/>
  <c r="S106" i="2"/>
  <c r="N106" i="2"/>
  <c r="I106" i="2"/>
  <c r="D106" i="2"/>
  <c r="AF105" i="2"/>
  <c r="X105" i="2"/>
  <c r="P105" i="2"/>
  <c r="J105" i="2"/>
  <c r="E105" i="2"/>
  <c r="AG104" i="2"/>
  <c r="Y104" i="2"/>
  <c r="Q104" i="2"/>
  <c r="K104" i="2"/>
  <c r="F104" i="2"/>
  <c r="AH103" i="2"/>
  <c r="Z103" i="2"/>
  <c r="R103" i="2"/>
  <c r="M103" i="2"/>
  <c r="H103" i="2"/>
  <c r="AJ102" i="2"/>
  <c r="AE102" i="2"/>
  <c r="S102" i="2"/>
  <c r="N102" i="2"/>
  <c r="I102" i="2"/>
  <c r="D102" i="2"/>
  <c r="AF101" i="2"/>
  <c r="X101" i="2"/>
  <c r="P101" i="2"/>
  <c r="J101" i="2"/>
  <c r="E101" i="2"/>
  <c r="AG100" i="2"/>
  <c r="Y100" i="2"/>
  <c r="Q100" i="2"/>
  <c r="K100" i="2"/>
  <c r="F100" i="2"/>
  <c r="AH99" i="2"/>
  <c r="Z99" i="2"/>
  <c r="R99" i="2"/>
  <c r="M99" i="2"/>
  <c r="H99" i="2"/>
  <c r="AJ98" i="2"/>
  <c r="AE98" i="2"/>
  <c r="S98" i="2"/>
  <c r="N98" i="2"/>
  <c r="I98" i="2"/>
  <c r="D98" i="2"/>
  <c r="AF97" i="2"/>
  <c r="X97" i="2"/>
  <c r="P97" i="2"/>
  <c r="J97" i="2"/>
  <c r="E97" i="2"/>
  <c r="AG96" i="2"/>
  <c r="Y96" i="2"/>
  <c r="Q96" i="2"/>
  <c r="K96" i="2"/>
  <c r="F96" i="2"/>
  <c r="AH95" i="2"/>
  <c r="Z95" i="2"/>
  <c r="R95" i="2"/>
  <c r="M95" i="2"/>
  <c r="H95" i="2"/>
  <c r="AJ94" i="2"/>
  <c r="AE94" i="2"/>
  <c r="S94" i="2"/>
  <c r="N94" i="2"/>
  <c r="I94" i="2"/>
  <c r="D94" i="2"/>
  <c r="AF93" i="2"/>
  <c r="X93" i="2"/>
  <c r="P93" i="2"/>
  <c r="J93" i="2"/>
  <c r="E93" i="2"/>
  <c r="AG92" i="2"/>
  <c r="Y92" i="2"/>
  <c r="Q92" i="2"/>
  <c r="K92" i="2"/>
  <c r="F92" i="2"/>
  <c r="AH91" i="2"/>
  <c r="Z91" i="2"/>
  <c r="R91" i="2"/>
  <c r="M91" i="2"/>
  <c r="H91" i="2"/>
  <c r="AJ90" i="2"/>
  <c r="AE90" i="2"/>
  <c r="S90" i="2"/>
  <c r="N90" i="2"/>
  <c r="I90" i="2"/>
  <c r="D90" i="2"/>
  <c r="AF89" i="2"/>
  <c r="X89" i="2"/>
  <c r="P89" i="2"/>
  <c r="J89" i="2"/>
  <c r="E89" i="2"/>
  <c r="AG88" i="2"/>
  <c r="Y88" i="2"/>
  <c r="Q88" i="2"/>
  <c r="K88" i="2"/>
  <c r="F88" i="2"/>
  <c r="AH87" i="2"/>
  <c r="Z87" i="2"/>
  <c r="R87" i="2"/>
  <c r="M87" i="2"/>
  <c r="H87" i="2"/>
  <c r="AJ86" i="2"/>
  <c r="AE86" i="2"/>
  <c r="S86" i="2"/>
  <c r="N86" i="2"/>
  <c r="I86" i="2"/>
  <c r="D86" i="2"/>
  <c r="AF85" i="2"/>
  <c r="X85" i="2"/>
  <c r="P85" i="2"/>
  <c r="J85" i="2"/>
  <c r="E85" i="2"/>
  <c r="AG84" i="2"/>
  <c r="Y84" i="2"/>
  <c r="Q84" i="2"/>
  <c r="K84" i="2"/>
  <c r="F84" i="2"/>
  <c r="AH83" i="2"/>
  <c r="Z83" i="2"/>
  <c r="R83" i="2"/>
  <c r="M83" i="2"/>
  <c r="H83" i="2"/>
  <c r="AJ82" i="2"/>
  <c r="AE82" i="2"/>
  <c r="S82" i="2"/>
  <c r="N82" i="2"/>
  <c r="I82" i="2"/>
  <c r="D82" i="2"/>
  <c r="AF81" i="2"/>
  <c r="X81" i="2"/>
  <c r="P81" i="2"/>
  <c r="J81" i="2"/>
  <c r="E81" i="2"/>
  <c r="AG80" i="2"/>
  <c r="Y80" i="2"/>
  <c r="Q80" i="2"/>
  <c r="K80" i="2"/>
  <c r="F80" i="2"/>
  <c r="AH79" i="2"/>
  <c r="Z79" i="2"/>
  <c r="R79" i="2"/>
  <c r="M79" i="2"/>
  <c r="H79" i="2"/>
  <c r="AJ78" i="2"/>
  <c r="AE78" i="2"/>
  <c r="S78" i="2"/>
  <c r="N78" i="2"/>
  <c r="I78" i="2"/>
  <c r="D78" i="2"/>
  <c r="AF77" i="2"/>
  <c r="X77" i="2"/>
  <c r="P77" i="2"/>
  <c r="J77" i="2"/>
  <c r="E77" i="2"/>
  <c r="AG76" i="2"/>
  <c r="Y76" i="2"/>
  <c r="Q76" i="2"/>
  <c r="K76" i="2"/>
  <c r="F76" i="2"/>
  <c r="AH75" i="2"/>
  <c r="Z75" i="2"/>
  <c r="R75" i="2"/>
  <c r="M75" i="2"/>
  <c r="H75" i="2"/>
  <c r="AJ74" i="2"/>
  <c r="AE74" i="2"/>
  <c r="S74" i="2"/>
  <c r="N74" i="2"/>
  <c r="I74" i="2"/>
  <c r="D74" i="2"/>
  <c r="AF73" i="2"/>
  <c r="X73" i="2"/>
  <c r="P73" i="2"/>
  <c r="J73" i="2"/>
  <c r="E73" i="2"/>
  <c r="AG72" i="2"/>
  <c r="Y72" i="2"/>
  <c r="Q72" i="2"/>
  <c r="K72" i="2"/>
  <c r="F72" i="2"/>
  <c r="AH71" i="2"/>
  <c r="Z71" i="2"/>
  <c r="R71" i="2"/>
  <c r="M71" i="2"/>
  <c r="H71" i="2"/>
  <c r="AJ70" i="2"/>
  <c r="AE70" i="2"/>
  <c r="S70" i="2"/>
  <c r="N70" i="2"/>
  <c r="I70" i="2"/>
  <c r="D70" i="2"/>
  <c r="AF69" i="2"/>
  <c r="X69" i="2"/>
  <c r="P69" i="2"/>
  <c r="J69" i="2"/>
  <c r="E69" i="2"/>
  <c r="AG68" i="2"/>
  <c r="Y68" i="2"/>
  <c r="Q68" i="2"/>
  <c r="K68" i="2"/>
  <c r="F68" i="2"/>
  <c r="AH67" i="2"/>
  <c r="Z67" i="2"/>
  <c r="R67" i="2"/>
  <c r="M67" i="2"/>
  <c r="H67" i="2"/>
  <c r="AJ66" i="2"/>
  <c r="AE66" i="2"/>
  <c r="S66" i="2"/>
  <c r="N66" i="2"/>
  <c r="I66" i="2"/>
  <c r="D66" i="2"/>
  <c r="AF65" i="2"/>
  <c r="X65" i="2"/>
  <c r="P65" i="2"/>
  <c r="J65" i="2"/>
  <c r="E65" i="2"/>
  <c r="AG64" i="2"/>
  <c r="Y64" i="2"/>
  <c r="Q64" i="2"/>
  <c r="K64" i="2"/>
  <c r="F64" i="2"/>
  <c r="AH63" i="2"/>
  <c r="Z63" i="2"/>
  <c r="R63" i="2"/>
  <c r="M63" i="2"/>
  <c r="H63" i="2"/>
  <c r="AJ62" i="2"/>
  <c r="AE62" i="2"/>
  <c r="S62" i="2"/>
  <c r="N62" i="2"/>
  <c r="I62" i="2"/>
  <c r="D62" i="2"/>
  <c r="AF61" i="2"/>
  <c r="X61" i="2"/>
  <c r="P61" i="2"/>
  <c r="J61" i="2"/>
  <c r="E61" i="2"/>
  <c r="AG60" i="2"/>
  <c r="Y60" i="2"/>
  <c r="Q60" i="2"/>
  <c r="K60" i="2"/>
  <c r="F60" i="2"/>
  <c r="AH59" i="2"/>
  <c r="Z59" i="2"/>
  <c r="R59" i="2"/>
  <c r="M59" i="2"/>
  <c r="H59" i="2"/>
  <c r="AJ58" i="2"/>
  <c r="AE58" i="2"/>
  <c r="S58" i="2"/>
  <c r="N58" i="2"/>
  <c r="I58" i="2"/>
  <c r="D58" i="2"/>
  <c r="AF57" i="2"/>
  <c r="X57" i="2"/>
  <c r="P57" i="2"/>
  <c r="J57" i="2"/>
  <c r="E57" i="2"/>
  <c r="AG56" i="2"/>
  <c r="Y56" i="2"/>
  <c r="Q56" i="2"/>
  <c r="K56" i="2"/>
  <c r="F56" i="2"/>
  <c r="AH55" i="2"/>
  <c r="Z55" i="2"/>
  <c r="R55" i="2"/>
  <c r="M55" i="2"/>
  <c r="H55" i="2"/>
  <c r="AJ54" i="2"/>
  <c r="AE54" i="2"/>
  <c r="S54" i="2"/>
  <c r="N54" i="2"/>
  <c r="I54" i="2"/>
  <c r="D54" i="2"/>
  <c r="AF53" i="2"/>
  <c r="X53" i="2"/>
  <c r="P53" i="2"/>
  <c r="J53" i="2"/>
  <c r="E53" i="2"/>
  <c r="AG52" i="2"/>
  <c r="Y52" i="2"/>
  <c r="Q52" i="2"/>
  <c r="K52" i="2"/>
  <c r="F52" i="2"/>
  <c r="AH51" i="2"/>
  <c r="Z51" i="2"/>
  <c r="R51" i="2"/>
  <c r="M51" i="2"/>
  <c r="H51" i="2"/>
  <c r="AJ50" i="2"/>
  <c r="AE50" i="2"/>
  <c r="S50" i="2"/>
  <c r="N50" i="2"/>
  <c r="I50" i="2"/>
  <c r="D50" i="2"/>
  <c r="AF49" i="2"/>
  <c r="X49" i="2"/>
  <c r="P49" i="2"/>
  <c r="J49" i="2"/>
  <c r="E49" i="2"/>
  <c r="AG48" i="2"/>
  <c r="Y48" i="2"/>
  <c r="Q48" i="2"/>
  <c r="K48" i="2"/>
  <c r="F48" i="2"/>
  <c r="AH47" i="2"/>
  <c r="Z47" i="2"/>
  <c r="R47" i="2"/>
  <c r="M47" i="2"/>
  <c r="H47" i="2"/>
  <c r="AJ46" i="2"/>
  <c r="AE46" i="2"/>
  <c r="S46" i="2"/>
  <c r="N46" i="2"/>
  <c r="I46" i="2"/>
  <c r="D46" i="2"/>
  <c r="AF45" i="2"/>
  <c r="X45" i="2"/>
  <c r="P45" i="2"/>
  <c r="J45" i="2"/>
  <c r="E45" i="2"/>
  <c r="AG44" i="2"/>
  <c r="Y44" i="2"/>
  <c r="Q44" i="2"/>
  <c r="K44" i="2"/>
  <c r="F44" i="2"/>
  <c r="AH43" i="2"/>
  <c r="Z43" i="2"/>
  <c r="R43" i="2"/>
  <c r="M43" i="2"/>
  <c r="H43" i="2"/>
  <c r="AJ42" i="2"/>
  <c r="AE42" i="2"/>
  <c r="S42" i="2"/>
  <c r="N42" i="2"/>
  <c r="I42" i="2"/>
  <c r="D42" i="2"/>
  <c r="AF41" i="2"/>
  <c r="X41" i="2"/>
  <c r="P41" i="2"/>
  <c r="J41" i="2"/>
  <c r="E41" i="2"/>
  <c r="AG40" i="2"/>
  <c r="Y40" i="2"/>
  <c r="Q40" i="2"/>
  <c r="K40" i="2"/>
  <c r="F40" i="2"/>
  <c r="AH39" i="2"/>
  <c r="Z39" i="2"/>
  <c r="R39" i="2"/>
  <c r="M39" i="2"/>
  <c r="H39" i="2"/>
  <c r="AJ38" i="2"/>
  <c r="AE38" i="2"/>
  <c r="S38" i="2"/>
  <c r="N38" i="2"/>
  <c r="I38" i="2"/>
  <c r="D38" i="2"/>
  <c r="AF37" i="2"/>
  <c r="X37" i="2"/>
  <c r="P37" i="2"/>
  <c r="J37" i="2"/>
  <c r="E37" i="2"/>
  <c r="AG36" i="2"/>
  <c r="Y36" i="2"/>
  <c r="Q36" i="2"/>
  <c r="K36" i="2"/>
  <c r="F36" i="2"/>
  <c r="AH35" i="2"/>
  <c r="Z35" i="2"/>
  <c r="R35" i="2"/>
  <c r="M35" i="2"/>
  <c r="H35" i="2"/>
  <c r="AJ34" i="2"/>
  <c r="AE34" i="2"/>
  <c r="S34" i="2"/>
  <c r="N34" i="2"/>
  <c r="I34" i="2"/>
  <c r="D34" i="2"/>
  <c r="AF33" i="2"/>
  <c r="X33" i="2"/>
  <c r="P33" i="2"/>
  <c r="J33" i="2"/>
  <c r="E33" i="2"/>
  <c r="AG32" i="2"/>
  <c r="Y32" i="2"/>
  <c r="Q32" i="2"/>
  <c r="K32" i="2"/>
  <c r="F32" i="2"/>
  <c r="AH31" i="2"/>
  <c r="Z31" i="2"/>
  <c r="R31" i="2"/>
  <c r="M31" i="2"/>
  <c r="H31" i="2"/>
  <c r="AJ30" i="2"/>
  <c r="AE30" i="2"/>
  <c r="S30" i="2"/>
  <c r="N30" i="2"/>
  <c r="I30" i="2"/>
  <c r="D30" i="2"/>
  <c r="AF29" i="2"/>
  <c r="X29" i="2"/>
  <c r="P29" i="2"/>
  <c r="J29" i="2"/>
  <c r="E29" i="2"/>
  <c r="AG28" i="2"/>
  <c r="Y28" i="2"/>
  <c r="Q28" i="2"/>
  <c r="K28" i="2"/>
  <c r="F28" i="2"/>
  <c r="AH27" i="2"/>
  <c r="Z27" i="2"/>
  <c r="R27" i="2"/>
  <c r="M27" i="2"/>
  <c r="H27" i="2"/>
  <c r="AJ26" i="2"/>
  <c r="AE26" i="2"/>
  <c r="S26" i="2"/>
  <c r="N26" i="2"/>
  <c r="I26" i="2"/>
  <c r="D26" i="2"/>
  <c r="AF25" i="2"/>
  <c r="X25" i="2"/>
  <c r="P25" i="2"/>
  <c r="J25" i="2"/>
  <c r="E25" i="2"/>
  <c r="AG24" i="2"/>
  <c r="Y24" i="2"/>
  <c r="Q24" i="2"/>
  <c r="K24" i="2"/>
  <c r="F24" i="2"/>
  <c r="AH23" i="2"/>
  <c r="Z23" i="2"/>
  <c r="R23" i="2"/>
  <c r="M23" i="2"/>
  <c r="H23" i="2"/>
  <c r="AJ22" i="2"/>
  <c r="AE22" i="2"/>
  <c r="S22" i="2"/>
  <c r="N22" i="2"/>
  <c r="I22" i="2"/>
  <c r="D22" i="2"/>
  <c r="AF21" i="2"/>
  <c r="X21" i="2"/>
  <c r="P21" i="2"/>
  <c r="J21" i="2"/>
  <c r="E21" i="2"/>
  <c r="AG20" i="2"/>
  <c r="Y20" i="2"/>
  <c r="Q20" i="2"/>
  <c r="K20" i="2"/>
  <c r="F20" i="2"/>
  <c r="AH19" i="2"/>
  <c r="Z19" i="2"/>
  <c r="R19" i="2"/>
  <c r="M19" i="2"/>
  <c r="H19" i="2"/>
  <c r="AJ18" i="2"/>
  <c r="AE18" i="2"/>
  <c r="S18" i="2"/>
  <c r="N18" i="2"/>
  <c r="I18" i="2"/>
  <c r="D18" i="2"/>
  <c r="AF17" i="2"/>
  <c r="X17" i="2"/>
  <c r="P17" i="2"/>
  <c r="J17" i="2"/>
  <c r="E17" i="2"/>
  <c r="AG16" i="2"/>
  <c r="Y16" i="2"/>
  <c r="Q16" i="2"/>
  <c r="K16" i="2"/>
  <c r="F16" i="2"/>
  <c r="AH15" i="2"/>
  <c r="Z15" i="2"/>
  <c r="R15" i="2"/>
  <c r="M15" i="2"/>
  <c r="H15" i="2"/>
  <c r="AJ14" i="2"/>
  <c r="AE14" i="2"/>
  <c r="S14" i="2"/>
  <c r="N14" i="2"/>
  <c r="I14" i="2"/>
  <c r="D14" i="2"/>
  <c r="AF13" i="2"/>
  <c r="X13" i="2"/>
  <c r="P13" i="2"/>
  <c r="J13" i="2"/>
  <c r="E13" i="2"/>
  <c r="AG12" i="2"/>
  <c r="Y12" i="2"/>
  <c r="Q12" i="2"/>
  <c r="K12" i="2"/>
  <c r="F12" i="2"/>
  <c r="AH11" i="2"/>
  <c r="Z11" i="2"/>
  <c r="R11" i="2"/>
  <c r="M11" i="2"/>
  <c r="H11" i="2"/>
  <c r="AJ10" i="2"/>
  <c r="AE10" i="2"/>
  <c r="S10" i="2"/>
  <c r="N10" i="2"/>
  <c r="I10" i="2"/>
  <c r="D10" i="2"/>
  <c r="AF9" i="2"/>
  <c r="X9" i="2"/>
  <c r="P9" i="2"/>
  <c r="J9" i="2"/>
  <c r="E9" i="2"/>
  <c r="AG8" i="2"/>
  <c r="Y8" i="2"/>
  <c r="Q8" i="2"/>
  <c r="K8" i="2"/>
  <c r="F8" i="2"/>
  <c r="AH7" i="2"/>
  <c r="Z7" i="2"/>
  <c r="R7" i="2"/>
  <c r="M7" i="2"/>
  <c r="H7" i="2"/>
  <c r="AJ6" i="2"/>
  <c r="AE6" i="2"/>
  <c r="S6" i="2"/>
  <c r="N6" i="2"/>
  <c r="I6" i="2"/>
  <c r="D6" i="2"/>
  <c r="P5" i="2"/>
  <c r="Y4" i="2"/>
  <c r="AJ5" i="2"/>
  <c r="I5" i="2"/>
  <c r="P4" i="2"/>
  <c r="Z5" i="2"/>
  <c r="AJ4" i="2"/>
  <c r="J4" i="2"/>
  <c r="Q5" i="2"/>
  <c r="Z4" i="2"/>
  <c r="D4" i="2"/>
  <c r="AG125" i="2"/>
  <c r="Q125" i="2"/>
  <c r="F125" i="2"/>
  <c r="Z124" i="2"/>
  <c r="M124" i="2"/>
  <c r="AJ123" i="2"/>
  <c r="S123" i="2"/>
  <c r="I123" i="2"/>
  <c r="AF122" i="2"/>
  <c r="P122" i="2"/>
  <c r="E122" i="2"/>
  <c r="Y121" i="2"/>
  <c r="K121" i="2"/>
  <c r="AH120" i="2"/>
  <c r="R120" i="2"/>
  <c r="H120" i="2"/>
  <c r="AE119" i="2"/>
  <c r="N119" i="2"/>
  <c r="D119" i="2"/>
  <c r="X118" i="2"/>
  <c r="J118" i="2"/>
  <c r="AG117" i="2"/>
  <c r="Q117" i="2"/>
  <c r="F117" i="2"/>
  <c r="Z116" i="2"/>
  <c r="M116" i="2"/>
  <c r="AJ115" i="2"/>
  <c r="S115" i="2"/>
  <c r="I115" i="2"/>
  <c r="AF114" i="2"/>
  <c r="P114" i="2"/>
  <c r="E114" i="2"/>
  <c r="Y113" i="2"/>
  <c r="K113" i="2"/>
  <c r="AH112" i="2"/>
  <c r="X112" i="2"/>
  <c r="N112" i="2"/>
  <c r="H112" i="2"/>
  <c r="AG111" i="2"/>
  <c r="X111" i="2"/>
  <c r="N111" i="2"/>
  <c r="F111" i="2"/>
  <c r="AG110" i="2"/>
  <c r="X110" i="2"/>
  <c r="M110" i="2"/>
  <c r="F110" i="2"/>
  <c r="AG109" i="2"/>
  <c r="S109" i="2"/>
  <c r="M109" i="2"/>
  <c r="F109" i="2"/>
  <c r="AF108" i="2"/>
  <c r="S108" i="2"/>
  <c r="M108" i="2"/>
  <c r="E108" i="2"/>
  <c r="AF107" i="2"/>
  <c r="S107" i="2"/>
  <c r="K107" i="2"/>
  <c r="E107" i="2"/>
  <c r="AF106" i="2"/>
  <c r="R106" i="2"/>
  <c r="K106" i="2"/>
  <c r="E106" i="2"/>
  <c r="AE105" i="2"/>
  <c r="R105" i="2"/>
  <c r="K105" i="2"/>
  <c r="D105" i="2"/>
  <c r="AE104" i="2"/>
  <c r="R104" i="2"/>
  <c r="J104" i="2"/>
  <c r="D104" i="2"/>
  <c r="AE103" i="2"/>
  <c r="Q103" i="2"/>
  <c r="J103" i="2"/>
  <c r="D103" i="2"/>
  <c r="Z102" i="2"/>
  <c r="Q102" i="2"/>
  <c r="J102" i="2"/>
  <c r="AJ101" i="2"/>
  <c r="Z101" i="2"/>
  <c r="Q101" i="2"/>
  <c r="I101" i="2"/>
  <c r="AJ100" i="2"/>
  <c r="Z100" i="2"/>
  <c r="P100" i="2"/>
  <c r="I100" i="2"/>
  <c r="AJ99" i="2"/>
  <c r="Y99" i="2"/>
  <c r="P99" i="2"/>
  <c r="I99" i="2"/>
  <c r="AH98" i="2"/>
  <c r="Y98" i="2"/>
  <c r="P98" i="2"/>
  <c r="H98" i="2"/>
  <c r="AH97" i="2"/>
  <c r="Y97" i="2"/>
  <c r="N97" i="2"/>
  <c r="H97" i="2"/>
  <c r="AH96" i="2"/>
  <c r="X96" i="2"/>
  <c r="N96" i="2"/>
  <c r="H96" i="2"/>
  <c r="AG95" i="2"/>
  <c r="X95" i="2"/>
  <c r="N95" i="2"/>
  <c r="F95" i="2"/>
  <c r="AG94" i="2"/>
  <c r="X94" i="2"/>
  <c r="M94" i="2"/>
  <c r="F94" i="2"/>
  <c r="AG93" i="2"/>
  <c r="S93" i="2"/>
  <c r="M93" i="2"/>
  <c r="F93" i="2"/>
  <c r="AF92" i="2"/>
  <c r="S92" i="2"/>
  <c r="M92" i="2"/>
  <c r="E92" i="2"/>
  <c r="AF91" i="2"/>
  <c r="S91" i="2"/>
  <c r="K91" i="2"/>
  <c r="E91" i="2"/>
  <c r="AF90" i="2"/>
  <c r="R90" i="2"/>
  <c r="K90" i="2"/>
  <c r="E90" i="2"/>
  <c r="AE89" i="2"/>
  <c r="R89" i="2"/>
  <c r="K89" i="2"/>
  <c r="D89" i="2"/>
  <c r="AE88" i="2"/>
  <c r="R88" i="2"/>
  <c r="J88" i="2"/>
  <c r="D88" i="2"/>
  <c r="AE87" i="2"/>
  <c r="Q87" i="2"/>
  <c r="J87" i="2"/>
  <c r="D87" i="2"/>
  <c r="Z86" i="2"/>
  <c r="Q86" i="2"/>
  <c r="J86" i="2"/>
  <c r="AJ85" i="2"/>
  <c r="Z85" i="2"/>
  <c r="Q85" i="2"/>
  <c r="I85" i="2"/>
  <c r="AJ84" i="2"/>
  <c r="Z84" i="2"/>
  <c r="P84" i="2"/>
  <c r="I84" i="2"/>
  <c r="AJ83" i="2"/>
  <c r="Y83" i="2"/>
  <c r="P83" i="2"/>
  <c r="I83" i="2"/>
  <c r="AH82" i="2"/>
  <c r="Y82" i="2"/>
  <c r="P82" i="2"/>
  <c r="H82" i="2"/>
  <c r="AH81" i="2"/>
  <c r="Y81" i="2"/>
  <c r="N81" i="2"/>
  <c r="H81" i="2"/>
  <c r="AH80" i="2"/>
  <c r="X80" i="2"/>
  <c r="N80" i="2"/>
  <c r="H80" i="2"/>
  <c r="AG79" i="2"/>
  <c r="X79" i="2"/>
  <c r="N79" i="2"/>
  <c r="F79" i="2"/>
  <c r="AG78" i="2"/>
  <c r="X78" i="2"/>
  <c r="M78" i="2"/>
  <c r="F78" i="2"/>
  <c r="AG77" i="2"/>
  <c r="S77" i="2"/>
  <c r="M77" i="2"/>
  <c r="F77" i="2"/>
  <c r="AF76" i="2"/>
  <c r="S76" i="2"/>
  <c r="M76" i="2"/>
  <c r="E76" i="2"/>
  <c r="AF75" i="2"/>
  <c r="S75" i="2"/>
  <c r="K75" i="2"/>
  <c r="E75" i="2"/>
  <c r="AF74" i="2"/>
  <c r="R74" i="2"/>
  <c r="K74" i="2"/>
  <c r="E74" i="2"/>
  <c r="AE73" i="2"/>
  <c r="R73" i="2"/>
  <c r="K73" i="2"/>
  <c r="D73" i="2"/>
  <c r="AE72" i="2"/>
  <c r="R72" i="2"/>
  <c r="J72" i="2"/>
  <c r="D72" i="2"/>
  <c r="AE71" i="2"/>
  <c r="Q71" i="2"/>
  <c r="J71" i="2"/>
  <c r="D71" i="2"/>
  <c r="Z70" i="2"/>
  <c r="Q70" i="2"/>
  <c r="J70" i="2"/>
  <c r="AJ69" i="2"/>
  <c r="Z69" i="2"/>
  <c r="Q69" i="2"/>
  <c r="I69" i="2"/>
  <c r="AJ68" i="2"/>
  <c r="Z68" i="2"/>
  <c r="P68" i="2"/>
  <c r="I68" i="2"/>
  <c r="AJ67" i="2"/>
  <c r="Y67" i="2"/>
  <c r="P67" i="2"/>
  <c r="I67" i="2"/>
  <c r="AH66" i="2"/>
  <c r="Y66" i="2"/>
  <c r="P66" i="2"/>
  <c r="H66" i="2"/>
  <c r="AH65" i="2"/>
  <c r="Y65" i="2"/>
  <c r="N65" i="2"/>
  <c r="H65" i="2"/>
  <c r="AH64" i="2"/>
  <c r="X64" i="2"/>
  <c r="N64" i="2"/>
  <c r="H64" i="2"/>
  <c r="AG63" i="2"/>
  <c r="X63" i="2"/>
  <c r="N63" i="2"/>
  <c r="F63" i="2"/>
  <c r="AG62" i="2"/>
  <c r="X62" i="2"/>
  <c r="M62" i="2"/>
  <c r="F62" i="2"/>
  <c r="AG61" i="2"/>
  <c r="S61" i="2"/>
  <c r="M61" i="2"/>
  <c r="F61" i="2"/>
  <c r="AF60" i="2"/>
  <c r="S60" i="2"/>
  <c r="M60" i="2"/>
  <c r="E60" i="2"/>
  <c r="AF59" i="2"/>
  <c r="S59" i="2"/>
  <c r="K59" i="2"/>
  <c r="E59" i="2"/>
  <c r="AF58" i="2"/>
  <c r="R58" i="2"/>
  <c r="K58" i="2"/>
  <c r="E58" i="2"/>
  <c r="AE57" i="2"/>
  <c r="R57" i="2"/>
  <c r="K57" i="2"/>
  <c r="D57" i="2"/>
  <c r="AE56" i="2"/>
  <c r="R56" i="2"/>
  <c r="J56" i="2"/>
  <c r="D56" i="2"/>
  <c r="AE55" i="2"/>
  <c r="Q55" i="2"/>
  <c r="J55" i="2"/>
  <c r="D55" i="2"/>
  <c r="Z54" i="2"/>
  <c r="Q54" i="2"/>
  <c r="J54" i="2"/>
  <c r="AJ53" i="2"/>
  <c r="Z53" i="2"/>
  <c r="Q53" i="2"/>
  <c r="I53" i="2"/>
  <c r="AJ52" i="2"/>
  <c r="Z52" i="2"/>
  <c r="P52" i="2"/>
  <c r="I52" i="2"/>
  <c r="AJ51" i="2"/>
  <c r="Y51" i="2"/>
  <c r="P51" i="2"/>
  <c r="I51" i="2"/>
  <c r="AH50" i="2"/>
  <c r="Y50" i="2"/>
  <c r="P50" i="2"/>
  <c r="H50" i="2"/>
  <c r="AH49" i="2"/>
  <c r="Y49" i="2"/>
  <c r="N49" i="2"/>
  <c r="H49" i="2"/>
  <c r="AH48" i="2"/>
  <c r="X48" i="2"/>
  <c r="N48" i="2"/>
  <c r="H48" i="2"/>
  <c r="AG47" i="2"/>
  <c r="X47" i="2"/>
  <c r="N47" i="2"/>
  <c r="F47" i="2"/>
  <c r="AG46" i="2"/>
  <c r="X46" i="2"/>
  <c r="M46" i="2"/>
  <c r="F46" i="2"/>
  <c r="AG45" i="2"/>
  <c r="S45" i="2"/>
  <c r="M45" i="2"/>
  <c r="F45" i="2"/>
  <c r="AF44" i="2"/>
  <c r="S44" i="2"/>
  <c r="M44" i="2"/>
  <c r="E44" i="2"/>
  <c r="AF43" i="2"/>
  <c r="S43" i="2"/>
  <c r="K43" i="2"/>
  <c r="E43" i="2"/>
  <c r="AF42" i="2"/>
  <c r="R42" i="2"/>
  <c r="K42" i="2"/>
  <c r="E42" i="2"/>
  <c r="AE41" i="2"/>
  <c r="R41" i="2"/>
  <c r="K41" i="2"/>
  <c r="D41" i="2"/>
  <c r="AE40" i="2"/>
  <c r="R40" i="2"/>
  <c r="J40" i="2"/>
  <c r="D40" i="2"/>
  <c r="AE39" i="2"/>
  <c r="Q39" i="2"/>
  <c r="J39" i="2"/>
  <c r="D39" i="2"/>
  <c r="Z38" i="2"/>
  <c r="Q38" i="2"/>
  <c r="J38" i="2"/>
  <c r="AJ37" i="2"/>
  <c r="Z37" i="2"/>
  <c r="Q37" i="2"/>
  <c r="I37" i="2"/>
  <c r="AJ36" i="2"/>
  <c r="Z36" i="2"/>
  <c r="P36" i="2"/>
  <c r="I36" i="2"/>
  <c r="AJ35" i="2"/>
  <c r="Y35" i="2"/>
  <c r="P35" i="2"/>
  <c r="I35" i="2"/>
  <c r="AH34" i="2"/>
  <c r="Y34" i="2"/>
  <c r="P34" i="2"/>
  <c r="H34" i="2"/>
  <c r="AH33" i="2"/>
  <c r="Y33" i="2"/>
  <c r="N33" i="2"/>
  <c r="H33" i="2"/>
  <c r="AH32" i="2"/>
  <c r="X32" i="2"/>
  <c r="N32" i="2"/>
  <c r="H32" i="2"/>
  <c r="AG31" i="2"/>
  <c r="X31" i="2"/>
  <c r="N31" i="2"/>
  <c r="F31" i="2"/>
  <c r="AG30" i="2"/>
  <c r="X30" i="2"/>
  <c r="M30" i="2"/>
  <c r="F30" i="2"/>
  <c r="AG29" i="2"/>
  <c r="S29" i="2"/>
  <c r="M29" i="2"/>
  <c r="F29" i="2"/>
  <c r="AF28" i="2"/>
  <c r="S28" i="2"/>
  <c r="M28" i="2"/>
  <c r="E28" i="2"/>
  <c r="AF27" i="2"/>
  <c r="S27" i="2"/>
  <c r="K27" i="2"/>
  <c r="E27" i="2"/>
  <c r="AF26" i="2"/>
  <c r="R26" i="2"/>
  <c r="K26" i="2"/>
  <c r="E26" i="2"/>
  <c r="AE25" i="2"/>
  <c r="R25" i="2"/>
  <c r="K25" i="2"/>
  <c r="D25" i="2"/>
  <c r="AE24" i="2"/>
  <c r="R24" i="2"/>
  <c r="J24" i="2"/>
  <c r="D24" i="2"/>
  <c r="AE23" i="2"/>
  <c r="Q23" i="2"/>
  <c r="J23" i="2"/>
  <c r="D23" i="2"/>
  <c r="Z22" i="2"/>
  <c r="Q22" i="2"/>
  <c r="J22" i="2"/>
  <c r="AJ21" i="2"/>
  <c r="Z21" i="2"/>
  <c r="Q21" i="2"/>
  <c r="I21" i="2"/>
  <c r="AJ20" i="2"/>
  <c r="Z20" i="2"/>
  <c r="P20" i="2"/>
  <c r="I20" i="2"/>
  <c r="AJ19" i="2"/>
  <c r="Y19" i="2"/>
  <c r="P19" i="2"/>
  <c r="I19" i="2"/>
  <c r="AH18" i="2"/>
  <c r="Y18" i="2"/>
  <c r="P18" i="2"/>
  <c r="H18" i="2"/>
  <c r="AH17" i="2"/>
  <c r="Y17" i="2"/>
  <c r="N17" i="2"/>
  <c r="H17" i="2"/>
  <c r="AH16" i="2"/>
  <c r="X16" i="2"/>
  <c r="N16" i="2"/>
  <c r="H16" i="2"/>
  <c r="AG15" i="2"/>
  <c r="X15" i="2"/>
  <c r="N15" i="2"/>
  <c r="F15" i="2"/>
  <c r="AG14" i="2"/>
  <c r="X14" i="2"/>
  <c r="M14" i="2"/>
  <c r="F14" i="2"/>
  <c r="AG13" i="2"/>
  <c r="S13" i="2"/>
  <c r="M13" i="2"/>
  <c r="F13" i="2"/>
  <c r="AF12" i="2"/>
  <c r="S12" i="2"/>
  <c r="M12" i="2"/>
  <c r="E12" i="2"/>
  <c r="AF11" i="2"/>
  <c r="S11" i="2"/>
  <c r="K11" i="2"/>
  <c r="E11" i="2"/>
  <c r="AF10" i="2"/>
  <c r="R10" i="2"/>
  <c r="K10" i="2"/>
  <c r="E10" i="2"/>
  <c r="AE9" i="2"/>
  <c r="R9" i="2"/>
  <c r="K9" i="2"/>
  <c r="D9" i="2"/>
  <c r="AE8" i="2"/>
  <c r="R8" i="2"/>
  <c r="J8" i="2"/>
  <c r="D8" i="2"/>
  <c r="AE7" i="2"/>
  <c r="Q7" i="2"/>
  <c r="J7" i="2"/>
  <c r="D7" i="2"/>
  <c r="Z6" i="2"/>
  <c r="Q6" i="2"/>
  <c r="J6" i="2"/>
  <c r="E5" i="2"/>
  <c r="H4" i="2"/>
  <c r="D5" i="2"/>
  <c r="F4" i="2"/>
  <c r="H5" i="2"/>
  <c r="E4" i="2"/>
  <c r="F5" i="2"/>
  <c r="I4" i="2"/>
  <c r="AG4" i="2"/>
  <c r="AG5" i="2"/>
  <c r="K125" i="2"/>
  <c r="H124" i="2"/>
  <c r="J122" i="2"/>
  <c r="Q121" i="2"/>
  <c r="M120" i="2"/>
  <c r="E118" i="2"/>
  <c r="K117" i="2"/>
  <c r="AE115" i="2"/>
  <c r="D115" i="2"/>
  <c r="AG113" i="2"/>
  <c r="R112" i="2"/>
  <c r="J111" i="2"/>
  <c r="J110" i="2"/>
  <c r="Q109" i="2"/>
  <c r="P108" i="2"/>
  <c r="P107" i="2"/>
  <c r="H106" i="2"/>
  <c r="H105" i="2"/>
  <c r="AG103" i="2"/>
  <c r="AG102" i="2"/>
  <c r="AG101" i="2"/>
  <c r="F101" i="2"/>
  <c r="S100" i="2"/>
  <c r="AF99" i="2"/>
  <c r="AF98" i="2"/>
  <c r="R97" i="2"/>
  <c r="J96" i="2"/>
  <c r="Q95" i="2"/>
  <c r="Q94" i="2"/>
  <c r="I93" i="2"/>
  <c r="P92" i="2"/>
  <c r="P91" i="2"/>
  <c r="H90" i="2"/>
  <c r="AH88" i="2"/>
  <c r="N88" i="2"/>
  <c r="N87" i="2"/>
  <c r="M86" i="2"/>
  <c r="AF84" i="2"/>
  <c r="AF83" i="2"/>
  <c r="E83" i="2"/>
  <c r="K82" i="2"/>
  <c r="R81" i="2"/>
  <c r="J80" i="2"/>
  <c r="Q79" i="2"/>
  <c r="J78" i="2"/>
  <c r="I77" i="2"/>
  <c r="P76" i="2"/>
  <c r="P75" i="2"/>
  <c r="H74" i="2"/>
  <c r="AH72" i="2"/>
  <c r="H72" i="2"/>
  <c r="X71" i="2"/>
  <c r="X70" i="2"/>
  <c r="S69" i="2"/>
  <c r="S68" i="2"/>
  <c r="S67" i="2"/>
  <c r="AF66" i="2"/>
  <c r="K65" i="2"/>
  <c r="R64" i="2"/>
  <c r="J63" i="2"/>
  <c r="Q62" i="2"/>
  <c r="I61" i="2"/>
  <c r="P60" i="2"/>
  <c r="P59" i="2"/>
  <c r="AH57" i="2"/>
  <c r="N57" i="2"/>
  <c r="N56" i="2"/>
  <c r="N55" i="2"/>
  <c r="M54" i="2"/>
  <c r="F53" i="2"/>
  <c r="M52" i="2"/>
  <c r="K51" i="2"/>
  <c r="K50" i="2"/>
  <c r="AE49" i="2"/>
  <c r="AE48" i="2"/>
  <c r="D48" i="2"/>
  <c r="D47" i="2"/>
  <c r="Z45" i="2"/>
  <c r="AJ44" i="2"/>
  <c r="AJ43" i="2"/>
  <c r="Y42" i="2"/>
  <c r="AH41" i="2"/>
  <c r="H41" i="2"/>
  <c r="N40" i="2"/>
  <c r="F39" i="2"/>
  <c r="X38" i="2"/>
  <c r="AG37" i="2"/>
  <c r="F37" i="2"/>
  <c r="S36" i="2"/>
  <c r="AF35" i="2"/>
  <c r="E35" i="2"/>
  <c r="K34" i="2"/>
  <c r="K33" i="2"/>
  <c r="AE32" i="2"/>
  <c r="D32" i="2"/>
  <c r="Z30" i="2"/>
  <c r="J30" i="2"/>
  <c r="Q29" i="2"/>
  <c r="P28" i="2"/>
  <c r="I27" i="2"/>
  <c r="P26" i="2"/>
  <c r="H25" i="2"/>
  <c r="AG23" i="2"/>
  <c r="AG22" i="2"/>
  <c r="AG21" i="2"/>
  <c r="F21" i="2"/>
  <c r="S20" i="2"/>
  <c r="AF19" i="2"/>
  <c r="E19" i="2"/>
  <c r="K18" i="2"/>
  <c r="R17" i="2"/>
  <c r="J16" i="2"/>
  <c r="Q15" i="2"/>
  <c r="J14" i="2"/>
  <c r="Q13" i="2"/>
  <c r="I12" i="2"/>
  <c r="P11" i="2"/>
  <c r="P10" i="2"/>
  <c r="H9" i="2"/>
  <c r="N8" i="2"/>
  <c r="N7" i="2"/>
  <c r="M6" i="2"/>
  <c r="X5" i="2"/>
  <c r="R5" i="2"/>
  <c r="R4" i="2"/>
  <c r="Z125" i="2"/>
  <c r="M125" i="2"/>
  <c r="AJ124" i="2"/>
  <c r="S124" i="2"/>
  <c r="I124" i="2"/>
  <c r="AF123" i="2"/>
  <c r="P123" i="2"/>
  <c r="E123" i="2"/>
  <c r="Y122" i="2"/>
  <c r="K122" i="2"/>
  <c r="AH121" i="2"/>
  <c r="R121" i="2"/>
  <c r="H121" i="2"/>
  <c r="AE120" i="2"/>
  <c r="N120" i="2"/>
  <c r="D120" i="2"/>
  <c r="X119" i="2"/>
  <c r="J119" i="2"/>
  <c r="AG118" i="2"/>
  <c r="Q118" i="2"/>
  <c r="F118" i="2"/>
  <c r="Z117" i="2"/>
  <c r="M117" i="2"/>
  <c r="AJ116" i="2"/>
  <c r="S116" i="2"/>
  <c r="I116" i="2"/>
  <c r="AF115" i="2"/>
  <c r="P115" i="2"/>
  <c r="E115" i="2"/>
  <c r="Y114" i="2"/>
  <c r="K114" i="2"/>
  <c r="AH113" i="2"/>
  <c r="R113" i="2"/>
  <c r="H113" i="2"/>
  <c r="AF112" i="2"/>
  <c r="S112" i="2"/>
  <c r="M112" i="2"/>
  <c r="E112" i="2"/>
  <c r="AF111" i="2"/>
  <c r="S111" i="2"/>
  <c r="K111" i="2"/>
  <c r="E111" i="2"/>
  <c r="AF110" i="2"/>
  <c r="R110" i="2"/>
  <c r="K110" i="2"/>
  <c r="E110" i="2"/>
  <c r="AE109" i="2"/>
  <c r="R109" i="2"/>
  <c r="K109" i="2"/>
  <c r="D109" i="2"/>
  <c r="AE108" i="2"/>
  <c r="R108" i="2"/>
  <c r="J108" i="2"/>
  <c r="D108" i="2"/>
  <c r="AE107" i="2"/>
  <c r="Q107" i="2"/>
  <c r="J107" i="2"/>
  <c r="D107" i="2"/>
  <c r="Z106" i="2"/>
  <c r="Q106" i="2"/>
  <c r="J106" i="2"/>
  <c r="AJ105" i="2"/>
  <c r="Z105" i="2"/>
  <c r="Q105" i="2"/>
  <c r="I105" i="2"/>
  <c r="AJ104" i="2"/>
  <c r="Z104" i="2"/>
  <c r="P104" i="2"/>
  <c r="I104" i="2"/>
  <c r="AJ103" i="2"/>
  <c r="Y103" i="2"/>
  <c r="P103" i="2"/>
  <c r="I103" i="2"/>
  <c r="AH102" i="2"/>
  <c r="Y102" i="2"/>
  <c r="P102" i="2"/>
  <c r="H102" i="2"/>
  <c r="AH101" i="2"/>
  <c r="Y101" i="2"/>
  <c r="H101" i="2"/>
  <c r="AH100" i="2"/>
  <c r="X100" i="2"/>
  <c r="N100" i="2"/>
  <c r="H100" i="2"/>
  <c r="X99" i="2"/>
  <c r="AG98" i="2"/>
  <c r="F98" i="2"/>
  <c r="S97" i="2"/>
  <c r="F97" i="2"/>
  <c r="S96" i="2"/>
  <c r="E96" i="2"/>
  <c r="S95" i="2"/>
  <c r="AF94" i="2"/>
  <c r="AE93" i="2"/>
  <c r="D93" i="2"/>
  <c r="D92" i="2"/>
  <c r="D91" i="2"/>
  <c r="Z89" i="2"/>
  <c r="AJ88" i="2"/>
  <c r="AJ87" i="2"/>
  <c r="AH86" i="2"/>
  <c r="H86" i="2"/>
  <c r="N85" i="2"/>
  <c r="X84" i="2"/>
  <c r="AG83" i="2"/>
  <c r="AG82" i="2"/>
  <c r="F82" i="2"/>
  <c r="AG81" i="2"/>
  <c r="F81" i="2"/>
  <c r="S80" i="2"/>
  <c r="AF79" i="2"/>
  <c r="AF78" i="2"/>
  <c r="AE77" i="2"/>
  <c r="D77" i="2"/>
  <c r="J76" i="2"/>
  <c r="Q75" i="2"/>
  <c r="Q74" i="2"/>
  <c r="Q73" i="2"/>
  <c r="P72" i="2"/>
  <c r="I71" i="2"/>
  <c r="P70" i="2"/>
  <c r="N69" i="2"/>
  <c r="N68" i="2"/>
  <c r="N67" i="2"/>
  <c r="X66" i="2"/>
  <c r="AG65" i="2"/>
  <c r="F65" i="2"/>
  <c r="M64" i="2"/>
  <c r="E63" i="2"/>
  <c r="K62" i="2"/>
  <c r="AE61" i="2"/>
  <c r="K61" i="2"/>
  <c r="AE60" i="2"/>
  <c r="D60" i="2"/>
  <c r="D59" i="2"/>
  <c r="Z57" i="2"/>
  <c r="I57" i="2"/>
  <c r="Z56" i="2"/>
  <c r="AJ55" i="2"/>
  <c r="Y54" i="2"/>
  <c r="AH53" i="2"/>
  <c r="N53" i="2"/>
  <c r="N52" i="2"/>
  <c r="X51" i="2"/>
  <c r="AG50" i="2"/>
  <c r="F50" i="2"/>
  <c r="S49" i="2"/>
  <c r="F49" i="2"/>
  <c r="S48" i="2"/>
  <c r="AF47" i="2"/>
  <c r="R46" i="2"/>
  <c r="R45" i="2"/>
  <c r="J44" i="2"/>
  <c r="AE43" i="2"/>
  <c r="J43" i="2"/>
  <c r="Q42" i="2"/>
  <c r="Z41" i="2"/>
  <c r="AJ40" i="2"/>
  <c r="Y39" i="2"/>
  <c r="I39" i="2"/>
  <c r="P38" i="2"/>
  <c r="N37" i="2"/>
  <c r="N36" i="2"/>
  <c r="X35" i="2"/>
  <c r="X34" i="2"/>
  <c r="F34" i="2"/>
  <c r="S33" i="2"/>
  <c r="F33" i="2"/>
  <c r="M32" i="2"/>
  <c r="R30" i="2"/>
  <c r="K29" i="2"/>
  <c r="AE28" i="2"/>
  <c r="J28" i="2"/>
  <c r="Q27" i="2"/>
  <c r="Q26" i="2"/>
  <c r="I25" i="2"/>
  <c r="Z24" i="2"/>
  <c r="AJ23" i="2"/>
  <c r="AH22" i="2"/>
  <c r="H22" i="2"/>
  <c r="AH20" i="2"/>
  <c r="N20" i="2"/>
  <c r="X19" i="2"/>
  <c r="X18" i="2"/>
  <c r="F18" i="2"/>
  <c r="S17" i="2"/>
  <c r="AF16" i="2"/>
  <c r="E16" i="2"/>
  <c r="S15" i="2"/>
  <c r="R14" i="2"/>
  <c r="R13" i="2"/>
  <c r="R12" i="2"/>
  <c r="Q11" i="2"/>
  <c r="J10" i="2"/>
  <c r="Z9" i="2"/>
  <c r="I9" i="2"/>
  <c r="P8" i="2"/>
  <c r="P7" i="2"/>
  <c r="H6" i="2"/>
  <c r="AE5" i="2"/>
  <c r="AE4" i="2"/>
  <c r="AH124" i="2"/>
  <c r="AE123" i="2"/>
  <c r="X122" i="2"/>
  <c r="F121" i="2"/>
  <c r="AJ119" i="2"/>
  <c r="P118" i="2"/>
  <c r="R116" i="2"/>
  <c r="X114" i="2"/>
  <c r="Q113" i="2"/>
  <c r="D112" i="2"/>
  <c r="D111" i="2"/>
  <c r="Z109" i="2"/>
  <c r="AJ108" i="2"/>
  <c r="Y107" i="2"/>
  <c r="AH106" i="2"/>
  <c r="P106" i="2"/>
  <c r="AH104" i="2"/>
  <c r="N104" i="2"/>
  <c r="N103" i="2"/>
  <c r="M102" i="2"/>
  <c r="AF100" i="2"/>
  <c r="E100" i="2"/>
  <c r="S99" i="2"/>
  <c r="R98" i="2"/>
  <c r="K97" i="2"/>
  <c r="AE96" i="2"/>
  <c r="D96" i="2"/>
  <c r="D95" i="2"/>
  <c r="Z93" i="2"/>
  <c r="AJ92" i="2"/>
  <c r="AJ91" i="2"/>
  <c r="Y90" i="2"/>
  <c r="Y89" i="2"/>
  <c r="H89" i="2"/>
  <c r="AG87" i="2"/>
  <c r="AG86" i="2"/>
  <c r="AG85" i="2"/>
  <c r="F85" i="2"/>
  <c r="M84" i="2"/>
  <c r="AF82" i="2"/>
  <c r="E82" i="2"/>
  <c r="K81" i="2"/>
  <c r="AE80" i="2"/>
  <c r="D80" i="2"/>
  <c r="Z78" i="2"/>
  <c r="AJ77" i="2"/>
  <c r="AJ76" i="2"/>
  <c r="Y75" i="2"/>
  <c r="Y74" i="2"/>
  <c r="AH73" i="2"/>
  <c r="N73" i="2"/>
  <c r="N72" i="2"/>
  <c r="N71" i="2"/>
  <c r="M70" i="2"/>
  <c r="F69" i="2"/>
  <c r="M68" i="2"/>
  <c r="E67" i="2"/>
  <c r="K66" i="2"/>
  <c r="AE65" i="2"/>
  <c r="AE64" i="2"/>
  <c r="J64" i="2"/>
  <c r="AE63" i="2"/>
  <c r="D63" i="2"/>
  <c r="J62" i="2"/>
  <c r="Z61" i="2"/>
  <c r="AJ60" i="2"/>
  <c r="Y59" i="2"/>
  <c r="AH58" i="2"/>
  <c r="P58" i="2"/>
  <c r="AH56" i="2"/>
  <c r="H56" i="2"/>
  <c r="X55" i="2"/>
  <c r="X54" i="2"/>
  <c r="S53" i="2"/>
  <c r="S52" i="2"/>
  <c r="AF51" i="2"/>
  <c r="R50" i="2"/>
  <c r="K49" i="2"/>
  <c r="R48" i="2"/>
  <c r="J47" i="2"/>
  <c r="Q46" i="2"/>
  <c r="Q45" i="2"/>
  <c r="I44" i="2"/>
  <c r="I43" i="2"/>
  <c r="P42" i="2"/>
  <c r="N41" i="2"/>
  <c r="H40" i="2"/>
  <c r="N39" i="2"/>
  <c r="F38" i="2"/>
  <c r="S37" i="2"/>
  <c r="AF36" i="2"/>
  <c r="E36" i="2"/>
  <c r="S35" i="2"/>
  <c r="AF34" i="2"/>
  <c r="R33" i="2"/>
  <c r="J32" i="2"/>
  <c r="Q31" i="2"/>
  <c r="AJ29" i="2"/>
  <c r="AJ28" i="2"/>
  <c r="Y27" i="2"/>
  <c r="AH26" i="2"/>
  <c r="AH25" i="2"/>
  <c r="N25" i="2"/>
  <c r="N24" i="2"/>
  <c r="N23" i="2"/>
  <c r="F22" i="2"/>
  <c r="S21" i="2"/>
  <c r="AF20" i="2"/>
  <c r="E20" i="2"/>
  <c r="S19" i="2"/>
  <c r="R18" i="2"/>
  <c r="K17" i="2"/>
  <c r="AE16" i="2"/>
  <c r="D16" i="2"/>
  <c r="D15" i="2"/>
  <c r="Z13" i="2"/>
  <c r="AJ12" i="2"/>
  <c r="AJ11" i="2"/>
  <c r="Y10" i="2"/>
  <c r="AH9" i="2"/>
  <c r="AH8" i="2"/>
  <c r="F7" i="2"/>
  <c r="X6" i="2"/>
  <c r="Q4" i="2"/>
  <c r="S4" i="2"/>
  <c r="AH125" i="2"/>
  <c r="R125" i="2"/>
  <c r="H125" i="2"/>
  <c r="AE124" i="2"/>
  <c r="N124" i="2"/>
  <c r="D124" i="2"/>
  <c r="X123" i="2"/>
  <c r="J123" i="2"/>
  <c r="AG122" i="2"/>
  <c r="Q122" i="2"/>
  <c r="F122" i="2"/>
  <c r="Z121" i="2"/>
  <c r="M121" i="2"/>
  <c r="AJ120" i="2"/>
  <c r="S120" i="2"/>
  <c r="I120" i="2"/>
  <c r="AF119" i="2"/>
  <c r="P119" i="2"/>
  <c r="E119" i="2"/>
  <c r="Y118" i="2"/>
  <c r="K118" i="2"/>
  <c r="AH117" i="2"/>
  <c r="R117" i="2"/>
  <c r="H117" i="2"/>
  <c r="AE116" i="2"/>
  <c r="N116" i="2"/>
  <c r="D116" i="2"/>
  <c r="X115" i="2"/>
  <c r="J115" i="2"/>
  <c r="AG114" i="2"/>
  <c r="Q114" i="2"/>
  <c r="F114" i="2"/>
  <c r="Z113" i="2"/>
  <c r="M113" i="2"/>
  <c r="AJ112" i="2"/>
  <c r="Z112" i="2"/>
  <c r="P112" i="2"/>
  <c r="I112" i="2"/>
  <c r="AJ111" i="2"/>
  <c r="Y111" i="2"/>
  <c r="P111" i="2"/>
  <c r="I111" i="2"/>
  <c r="AH110" i="2"/>
  <c r="Y110" i="2"/>
  <c r="P110" i="2"/>
  <c r="H110" i="2"/>
  <c r="AH109" i="2"/>
  <c r="Y109" i="2"/>
  <c r="N109" i="2"/>
  <c r="H109" i="2"/>
  <c r="AH108" i="2"/>
  <c r="X108" i="2"/>
  <c r="N108" i="2"/>
  <c r="H108" i="2"/>
  <c r="AG107" i="2"/>
  <c r="X107" i="2"/>
  <c r="N107" i="2"/>
  <c r="F107" i="2"/>
  <c r="AG106" i="2"/>
  <c r="X106" i="2"/>
  <c r="M106" i="2"/>
  <c r="F106" i="2"/>
  <c r="AG105" i="2"/>
  <c r="S105" i="2"/>
  <c r="M105" i="2"/>
  <c r="F105" i="2"/>
  <c r="AF104" i="2"/>
  <c r="S104" i="2"/>
  <c r="M104" i="2"/>
  <c r="E104" i="2"/>
  <c r="AF103" i="2"/>
  <c r="S103" i="2"/>
  <c r="K103" i="2"/>
  <c r="E103" i="2"/>
  <c r="AF102" i="2"/>
  <c r="R102" i="2"/>
  <c r="K102" i="2"/>
  <c r="E102" i="2"/>
  <c r="AE101" i="2"/>
  <c r="R101" i="2"/>
  <c r="K101" i="2"/>
  <c r="D101" i="2"/>
  <c r="AE100" i="2"/>
  <c r="R100" i="2"/>
  <c r="J100" i="2"/>
  <c r="D100" i="2"/>
  <c r="AE99" i="2"/>
  <c r="Q99" i="2"/>
  <c r="J99" i="2"/>
  <c r="D99" i="2"/>
  <c r="Z98" i="2"/>
  <c r="Q98" i="2"/>
  <c r="J98" i="2"/>
  <c r="AJ97" i="2"/>
  <c r="Z97" i="2"/>
  <c r="Q97" i="2"/>
  <c r="I97" i="2"/>
  <c r="AJ96" i="2"/>
  <c r="Z96" i="2"/>
  <c r="P96" i="2"/>
  <c r="I96" i="2"/>
  <c r="AJ95" i="2"/>
  <c r="Y95" i="2"/>
  <c r="P95" i="2"/>
  <c r="I95" i="2"/>
  <c r="AH94" i="2"/>
  <c r="Y94" i="2"/>
  <c r="P94" i="2"/>
  <c r="H94" i="2"/>
  <c r="AH93" i="2"/>
  <c r="Y93" i="2"/>
  <c r="N93" i="2"/>
  <c r="H93" i="2"/>
  <c r="AH92" i="2"/>
  <c r="X92" i="2"/>
  <c r="N92" i="2"/>
  <c r="H92" i="2"/>
  <c r="AG91" i="2"/>
  <c r="X91" i="2"/>
  <c r="N91" i="2"/>
  <c r="F91" i="2"/>
  <c r="AG90" i="2"/>
  <c r="X90" i="2"/>
  <c r="M90" i="2"/>
  <c r="F90" i="2"/>
  <c r="AG89" i="2"/>
  <c r="S89" i="2"/>
  <c r="M89" i="2"/>
  <c r="F89" i="2"/>
  <c r="AF88" i="2"/>
  <c r="S88" i="2"/>
  <c r="M88" i="2"/>
  <c r="E88" i="2"/>
  <c r="AF87" i="2"/>
  <c r="S87" i="2"/>
  <c r="K87" i="2"/>
  <c r="E87" i="2"/>
  <c r="AF86" i="2"/>
  <c r="R86" i="2"/>
  <c r="K86" i="2"/>
  <c r="E86" i="2"/>
  <c r="AE85" i="2"/>
  <c r="R85" i="2"/>
  <c r="K85" i="2"/>
  <c r="D85" i="2"/>
  <c r="AE84" i="2"/>
  <c r="R84" i="2"/>
  <c r="J84" i="2"/>
  <c r="D84" i="2"/>
  <c r="AE83" i="2"/>
  <c r="Q83" i="2"/>
  <c r="J83" i="2"/>
  <c r="D83" i="2"/>
  <c r="Z82" i="2"/>
  <c r="Q82" i="2"/>
  <c r="J82" i="2"/>
  <c r="AJ81" i="2"/>
  <c r="Z81" i="2"/>
  <c r="Q81" i="2"/>
  <c r="I81" i="2"/>
  <c r="AJ80" i="2"/>
  <c r="Z80" i="2"/>
  <c r="P80" i="2"/>
  <c r="I80" i="2"/>
  <c r="AJ79" i="2"/>
  <c r="Y79" i="2"/>
  <c r="P79" i="2"/>
  <c r="I79" i="2"/>
  <c r="AH78" i="2"/>
  <c r="Y78" i="2"/>
  <c r="P78" i="2"/>
  <c r="H78" i="2"/>
  <c r="AH77" i="2"/>
  <c r="Y77" i="2"/>
  <c r="N77" i="2"/>
  <c r="H77" i="2"/>
  <c r="AH76" i="2"/>
  <c r="X76" i="2"/>
  <c r="N76" i="2"/>
  <c r="H76" i="2"/>
  <c r="AG75" i="2"/>
  <c r="X75" i="2"/>
  <c r="N75" i="2"/>
  <c r="F75" i="2"/>
  <c r="AG74" i="2"/>
  <c r="X74" i="2"/>
  <c r="M74" i="2"/>
  <c r="F74" i="2"/>
  <c r="AG73" i="2"/>
  <c r="S73" i="2"/>
  <c r="M73" i="2"/>
  <c r="F73" i="2"/>
  <c r="AF72" i="2"/>
  <c r="S72" i="2"/>
  <c r="M72" i="2"/>
  <c r="E72" i="2"/>
  <c r="AF71" i="2"/>
  <c r="S71" i="2"/>
  <c r="K71" i="2"/>
  <c r="E71" i="2"/>
  <c r="AF70" i="2"/>
  <c r="R70" i="2"/>
  <c r="K70" i="2"/>
  <c r="E70" i="2"/>
  <c r="AE69" i="2"/>
  <c r="R69" i="2"/>
  <c r="K69" i="2"/>
  <c r="D69" i="2"/>
  <c r="AE68" i="2"/>
  <c r="R68" i="2"/>
  <c r="J68" i="2"/>
  <c r="D68" i="2"/>
  <c r="AE67" i="2"/>
  <c r="Q67" i="2"/>
  <c r="J67" i="2"/>
  <c r="D67" i="2"/>
  <c r="Z66" i="2"/>
  <c r="Q66" i="2"/>
  <c r="J66" i="2"/>
  <c r="AJ65" i="2"/>
  <c r="Z65" i="2"/>
  <c r="Q65" i="2"/>
  <c r="I65" i="2"/>
  <c r="AJ64" i="2"/>
  <c r="Z64" i="2"/>
  <c r="P64" i="2"/>
  <c r="I64" i="2"/>
  <c r="AJ63" i="2"/>
  <c r="Y63" i="2"/>
  <c r="P63" i="2"/>
  <c r="I63" i="2"/>
  <c r="AH62" i="2"/>
  <c r="Y62" i="2"/>
  <c r="P62" i="2"/>
  <c r="H62" i="2"/>
  <c r="AH61" i="2"/>
  <c r="Y61" i="2"/>
  <c r="N61" i="2"/>
  <c r="H61" i="2"/>
  <c r="AH60" i="2"/>
  <c r="X60" i="2"/>
  <c r="N60" i="2"/>
  <c r="H60" i="2"/>
  <c r="AG59" i="2"/>
  <c r="X59" i="2"/>
  <c r="N59" i="2"/>
  <c r="F59" i="2"/>
  <c r="AG58" i="2"/>
  <c r="X58" i="2"/>
  <c r="M58" i="2"/>
  <c r="F58" i="2"/>
  <c r="AG57" i="2"/>
  <c r="S57" i="2"/>
  <c r="M57" i="2"/>
  <c r="F57" i="2"/>
  <c r="AF56" i="2"/>
  <c r="S56" i="2"/>
  <c r="M56" i="2"/>
  <c r="E56" i="2"/>
  <c r="AF55" i="2"/>
  <c r="S55" i="2"/>
  <c r="K55" i="2"/>
  <c r="E55" i="2"/>
  <c r="AF54" i="2"/>
  <c r="R54" i="2"/>
  <c r="K54" i="2"/>
  <c r="E54" i="2"/>
  <c r="AE53" i="2"/>
  <c r="R53" i="2"/>
  <c r="K53" i="2"/>
  <c r="D53" i="2"/>
  <c r="AE52" i="2"/>
  <c r="R52" i="2"/>
  <c r="J52" i="2"/>
  <c r="D52" i="2"/>
  <c r="AE51" i="2"/>
  <c r="Q51" i="2"/>
  <c r="J51" i="2"/>
  <c r="D51" i="2"/>
  <c r="Z50" i="2"/>
  <c r="Q50" i="2"/>
  <c r="J50" i="2"/>
  <c r="AJ49" i="2"/>
  <c r="Z49" i="2"/>
  <c r="Q49" i="2"/>
  <c r="I49" i="2"/>
  <c r="AJ48" i="2"/>
  <c r="Z48" i="2"/>
  <c r="P48" i="2"/>
  <c r="I48" i="2"/>
  <c r="AJ47" i="2"/>
  <c r="Y47" i="2"/>
  <c r="P47" i="2"/>
  <c r="I47" i="2"/>
  <c r="AH46" i="2"/>
  <c r="Y46" i="2"/>
  <c r="P46" i="2"/>
  <c r="H46" i="2"/>
  <c r="AH45" i="2"/>
  <c r="Y45" i="2"/>
  <c r="N45" i="2"/>
  <c r="H45" i="2"/>
  <c r="AH44" i="2"/>
  <c r="X44" i="2"/>
  <c r="N44" i="2"/>
  <c r="H44" i="2"/>
  <c r="AG43" i="2"/>
  <c r="X43" i="2"/>
  <c r="N43" i="2"/>
  <c r="F43" i="2"/>
  <c r="AG42" i="2"/>
  <c r="X42" i="2"/>
  <c r="M42" i="2"/>
  <c r="F42" i="2"/>
  <c r="AG41" i="2"/>
  <c r="S41" i="2"/>
  <c r="M41" i="2"/>
  <c r="F41" i="2"/>
  <c r="AF40" i="2"/>
  <c r="S40" i="2"/>
  <c r="M40" i="2"/>
  <c r="E40" i="2"/>
  <c r="AF39" i="2"/>
  <c r="S39" i="2"/>
  <c r="K39" i="2"/>
  <c r="E39" i="2"/>
  <c r="AF38" i="2"/>
  <c r="R38" i="2"/>
  <c r="K38" i="2"/>
  <c r="E38" i="2"/>
  <c r="AE37" i="2"/>
  <c r="R37" i="2"/>
  <c r="K37" i="2"/>
  <c r="D37" i="2"/>
  <c r="AE36" i="2"/>
  <c r="R36" i="2"/>
  <c r="J36" i="2"/>
  <c r="D36" i="2"/>
  <c r="AE35" i="2"/>
  <c r="Q35" i="2"/>
  <c r="J35" i="2"/>
  <c r="D35" i="2"/>
  <c r="Z34" i="2"/>
  <c r="Q34" i="2"/>
  <c r="J34" i="2"/>
  <c r="AJ33" i="2"/>
  <c r="Z33" i="2"/>
  <c r="Q33" i="2"/>
  <c r="I33" i="2"/>
  <c r="AJ32" i="2"/>
  <c r="Z32" i="2"/>
  <c r="P32" i="2"/>
  <c r="I32" i="2"/>
  <c r="AJ31" i="2"/>
  <c r="Y31" i="2"/>
  <c r="P31" i="2"/>
  <c r="I31" i="2"/>
  <c r="AH30" i="2"/>
  <c r="Y30" i="2"/>
  <c r="P30" i="2"/>
  <c r="H30" i="2"/>
  <c r="AH29" i="2"/>
  <c r="Y29" i="2"/>
  <c r="N29" i="2"/>
  <c r="H29" i="2"/>
  <c r="AH28" i="2"/>
  <c r="X28" i="2"/>
  <c r="N28" i="2"/>
  <c r="H28" i="2"/>
  <c r="AG27" i="2"/>
  <c r="X27" i="2"/>
  <c r="N27" i="2"/>
  <c r="F27" i="2"/>
  <c r="AG26" i="2"/>
  <c r="X26" i="2"/>
  <c r="M26" i="2"/>
  <c r="F26" i="2"/>
  <c r="AG25" i="2"/>
  <c r="S25" i="2"/>
  <c r="M25" i="2"/>
  <c r="F25" i="2"/>
  <c r="AF24" i="2"/>
  <c r="S24" i="2"/>
  <c r="M24" i="2"/>
  <c r="E24" i="2"/>
  <c r="AF23" i="2"/>
  <c r="S23" i="2"/>
  <c r="K23" i="2"/>
  <c r="E23" i="2"/>
  <c r="AF22" i="2"/>
  <c r="R22" i="2"/>
  <c r="K22" i="2"/>
  <c r="E22" i="2"/>
  <c r="AE21" i="2"/>
  <c r="R21" i="2"/>
  <c r="K21" i="2"/>
  <c r="D21" i="2"/>
  <c r="AE20" i="2"/>
  <c r="R20" i="2"/>
  <c r="J20" i="2"/>
  <c r="D20" i="2"/>
  <c r="AE19" i="2"/>
  <c r="Q19" i="2"/>
  <c r="J19" i="2"/>
  <c r="D19" i="2"/>
  <c r="Z18" i="2"/>
  <c r="Q18" i="2"/>
  <c r="J18" i="2"/>
  <c r="AJ17" i="2"/>
  <c r="Z17" i="2"/>
  <c r="Q17" i="2"/>
  <c r="I17" i="2"/>
  <c r="AJ16" i="2"/>
  <c r="Z16" i="2"/>
  <c r="P16" i="2"/>
  <c r="I16" i="2"/>
  <c r="AJ15" i="2"/>
  <c r="Y15" i="2"/>
  <c r="P15" i="2"/>
  <c r="I15" i="2"/>
  <c r="AH14" i="2"/>
  <c r="Y14" i="2"/>
  <c r="P14" i="2"/>
  <c r="H14" i="2"/>
  <c r="AH13" i="2"/>
  <c r="Y13" i="2"/>
  <c r="N13" i="2"/>
  <c r="H13" i="2"/>
  <c r="AH12" i="2"/>
  <c r="X12" i="2"/>
  <c r="N12" i="2"/>
  <c r="H12" i="2"/>
  <c r="AG11" i="2"/>
  <c r="X11" i="2"/>
  <c r="N11" i="2"/>
  <c r="F11" i="2"/>
  <c r="AG10" i="2"/>
  <c r="X10" i="2"/>
  <c r="M10" i="2"/>
  <c r="F10" i="2"/>
  <c r="AG9" i="2"/>
  <c r="S9" i="2"/>
  <c r="M9" i="2"/>
  <c r="F9" i="2"/>
  <c r="AF8" i="2"/>
  <c r="S8" i="2"/>
  <c r="M8" i="2"/>
  <c r="E8" i="2"/>
  <c r="AF7" i="2"/>
  <c r="S7" i="2"/>
  <c r="K7" i="2"/>
  <c r="E7" i="2"/>
  <c r="AF6" i="2"/>
  <c r="R6" i="2"/>
  <c r="K6" i="2"/>
  <c r="E6" i="2"/>
  <c r="J5" i="2"/>
  <c r="L4" i="2"/>
  <c r="N5" i="2"/>
  <c r="K4" i="2"/>
  <c r="M5" i="2"/>
  <c r="N4" i="2"/>
  <c r="K5" i="2"/>
  <c r="M4" i="2"/>
  <c r="N101" i="2"/>
  <c r="AG99" i="2"/>
  <c r="N99" i="2"/>
  <c r="F99" i="2"/>
  <c r="X98" i="2"/>
  <c r="M98" i="2"/>
  <c r="AG97" i="2"/>
  <c r="M97" i="2"/>
  <c r="AF96" i="2"/>
  <c r="M96" i="2"/>
  <c r="AF95" i="2"/>
  <c r="K95" i="2"/>
  <c r="E95" i="2"/>
  <c r="R94" i="2"/>
  <c r="K94" i="2"/>
  <c r="E94" i="2"/>
  <c r="R93" i="2"/>
  <c r="K93" i="2"/>
  <c r="AE92" i="2"/>
  <c r="R92" i="2"/>
  <c r="J92" i="2"/>
  <c r="AE91" i="2"/>
  <c r="Q91" i="2"/>
  <c r="J91" i="2"/>
  <c r="Z90" i="2"/>
  <c r="Q90" i="2"/>
  <c r="J90" i="2"/>
  <c r="AJ89" i="2"/>
  <c r="Q89" i="2"/>
  <c r="I89" i="2"/>
  <c r="Z88" i="2"/>
  <c r="P88" i="2"/>
  <c r="I88" i="2"/>
  <c r="Y87" i="2"/>
  <c r="P87" i="2"/>
  <c r="I87" i="2"/>
  <c r="Y86" i="2"/>
  <c r="P86" i="2"/>
  <c r="AH85" i="2"/>
  <c r="Y85" i="2"/>
  <c r="H85" i="2"/>
  <c r="AH84" i="2"/>
  <c r="N84" i="2"/>
  <c r="H84" i="2"/>
  <c r="X83" i="2"/>
  <c r="N83" i="2"/>
  <c r="F83" i="2"/>
  <c r="X82" i="2"/>
  <c r="M82" i="2"/>
  <c r="S81" i="2"/>
  <c r="M81" i="2"/>
  <c r="AF80" i="2"/>
  <c r="M80" i="2"/>
  <c r="E80" i="2"/>
  <c r="S79" i="2"/>
  <c r="K79" i="2"/>
  <c r="E79" i="2"/>
  <c r="R78" i="2"/>
  <c r="K78" i="2"/>
  <c r="E78" i="2"/>
  <c r="R77" i="2"/>
  <c r="K77" i="2"/>
  <c r="AE76" i="2"/>
  <c r="R76" i="2"/>
  <c r="D76" i="2"/>
  <c r="AE75" i="2"/>
  <c r="J75" i="2"/>
  <c r="D75" i="2"/>
  <c r="Z74" i="2"/>
  <c r="J74" i="2"/>
  <c r="AJ73" i="2"/>
  <c r="Z73" i="2"/>
  <c r="I73" i="2"/>
  <c r="AJ72" i="2"/>
  <c r="Z72" i="2"/>
  <c r="I72" i="2"/>
  <c r="AJ71" i="2"/>
  <c r="Y71" i="2"/>
  <c r="P71" i="2"/>
  <c r="AH70" i="2"/>
  <c r="Y70" i="2"/>
  <c r="H70" i="2"/>
  <c r="AH69" i="2"/>
  <c r="Y69" i="2"/>
  <c r="H69" i="2"/>
  <c r="AH68" i="2"/>
  <c r="X68" i="2"/>
  <c r="H68" i="2"/>
  <c r="AG67" i="2"/>
  <c r="X67" i="2"/>
  <c r="F67" i="2"/>
  <c r="AG66" i="2"/>
  <c r="M66" i="2"/>
  <c r="F66" i="2"/>
  <c r="S65" i="2"/>
  <c r="M65" i="2"/>
  <c r="AF64" i="2"/>
  <c r="S64" i="2"/>
  <c r="E64" i="2"/>
  <c r="AF63" i="2"/>
  <c r="S63" i="2"/>
  <c r="K63" i="2"/>
  <c r="AF62" i="2"/>
  <c r="R62" i="2"/>
  <c r="E62" i="2"/>
  <c r="R61" i="2"/>
  <c r="D61" i="2"/>
  <c r="R60" i="2"/>
  <c r="J60" i="2"/>
  <c r="AE59" i="2"/>
  <c r="Q59" i="2"/>
  <c r="J59" i="2"/>
  <c r="Z58" i="2"/>
  <c r="Q58" i="2"/>
  <c r="J58" i="2"/>
  <c r="AJ57" i="2"/>
  <c r="Q57" i="2"/>
  <c r="AJ56" i="2"/>
  <c r="P56" i="2"/>
  <c r="I56" i="2"/>
  <c r="Y55" i="2"/>
  <c r="P55" i="2"/>
  <c r="I55" i="2"/>
  <c r="AH54" i="2"/>
  <c r="P54" i="2"/>
  <c r="H54" i="2"/>
  <c r="Y53" i="2"/>
  <c r="H53" i="2"/>
  <c r="AH52" i="2"/>
  <c r="X52" i="2"/>
  <c r="H52" i="2"/>
  <c r="AG51" i="2"/>
  <c r="N51" i="2"/>
  <c r="F51" i="2"/>
  <c r="X50" i="2"/>
  <c r="M50" i="2"/>
  <c r="AG49" i="2"/>
  <c r="M49" i="2"/>
  <c r="AF48" i="2"/>
  <c r="M48" i="2"/>
  <c r="E48" i="2"/>
  <c r="S47" i="2"/>
  <c r="K47" i="2"/>
  <c r="E47" i="2"/>
  <c r="AF46" i="2"/>
  <c r="K46" i="2"/>
  <c r="E46" i="2"/>
  <c r="AE45" i="2"/>
  <c r="K45" i="2"/>
  <c r="D45" i="2"/>
  <c r="AE44" i="2"/>
  <c r="R44" i="2"/>
  <c r="D44" i="2"/>
  <c r="Q43" i="2"/>
  <c r="D43" i="2"/>
  <c r="Z42" i="2"/>
  <c r="J42" i="2"/>
  <c r="AJ41" i="2"/>
  <c r="Q41" i="2"/>
  <c r="I41" i="2"/>
  <c r="Z40" i="2"/>
  <c r="P40" i="2"/>
  <c r="I40" i="2"/>
  <c r="AJ39" i="2"/>
  <c r="P39" i="2"/>
  <c r="AH38" i="2"/>
  <c r="Y38" i="2"/>
  <c r="H38" i="2"/>
  <c r="AH37" i="2"/>
  <c r="Y37" i="2"/>
  <c r="H37" i="2"/>
  <c r="AH36" i="2"/>
  <c r="X36" i="2"/>
  <c r="H36" i="2"/>
  <c r="AG35" i="2"/>
  <c r="N35" i="2"/>
  <c r="F35" i="2"/>
  <c r="AG34" i="2"/>
  <c r="M34" i="2"/>
  <c r="AG33" i="2"/>
  <c r="M33" i="2"/>
  <c r="AF32" i="2"/>
  <c r="S32" i="2"/>
  <c r="E32" i="2"/>
  <c r="AF31" i="2"/>
  <c r="S31" i="2"/>
  <c r="K31" i="2"/>
  <c r="E31" i="2"/>
  <c r="AF30" i="2"/>
  <c r="K30" i="2"/>
  <c r="E30" i="2"/>
  <c r="AE29" i="2"/>
  <c r="R29" i="2"/>
  <c r="D29" i="2"/>
  <c r="R28" i="2"/>
  <c r="D28" i="2"/>
  <c r="AE27" i="2"/>
  <c r="J27" i="2"/>
  <c r="D27" i="2"/>
  <c r="Z26" i="2"/>
  <c r="J26" i="2"/>
  <c r="AJ25" i="2"/>
  <c r="Z25" i="2"/>
  <c r="Q25" i="2"/>
  <c r="AJ24" i="2"/>
  <c r="P24" i="2"/>
  <c r="I24" i="2"/>
  <c r="Y23" i="2"/>
  <c r="P23" i="2"/>
  <c r="I23" i="2"/>
  <c r="Y22" i="2"/>
  <c r="P22" i="2"/>
  <c r="AH21" i="2"/>
  <c r="Y21" i="2"/>
  <c r="N21" i="2"/>
  <c r="H21" i="2"/>
  <c r="X20" i="2"/>
  <c r="H20" i="2"/>
  <c r="AG19" i="2"/>
  <c r="N19" i="2"/>
  <c r="F19" i="2"/>
  <c r="AG18" i="2"/>
  <c r="M18" i="2"/>
  <c r="AG17" i="2"/>
  <c r="M17" i="2"/>
  <c r="F17" i="2"/>
  <c r="S16" i="2"/>
  <c r="M16" i="2"/>
  <c r="AF15" i="2"/>
  <c r="K15" i="2"/>
  <c r="E15" i="2"/>
  <c r="AF14" i="2"/>
  <c r="K14" i="2"/>
  <c r="E14" i="2"/>
  <c r="AE13" i="2"/>
  <c r="K13" i="2"/>
  <c r="D13" i="2"/>
  <c r="AE12" i="2"/>
  <c r="J12" i="2"/>
  <c r="D12" i="2"/>
  <c r="AE11" i="2"/>
  <c r="J11" i="2"/>
  <c r="D11" i="2"/>
  <c r="Z10" i="2"/>
  <c r="Q10" i="2"/>
  <c r="AJ9" i="2"/>
  <c r="Q9" i="2"/>
  <c r="AJ8" i="2"/>
  <c r="Z8" i="2"/>
  <c r="I8" i="2"/>
  <c r="AJ7" i="2"/>
  <c r="Y7" i="2"/>
  <c r="I7" i="2"/>
  <c r="AH6" i="2"/>
  <c r="Y6" i="2"/>
  <c r="P6" i="2"/>
  <c r="AF5" i="2"/>
  <c r="AF4" i="2"/>
  <c r="AH5" i="2"/>
  <c r="AH4" i="2"/>
  <c r="Y125" i="2"/>
  <c r="R124" i="2"/>
  <c r="N123" i="2"/>
  <c r="D123" i="2"/>
  <c r="AG121" i="2"/>
  <c r="Z120" i="2"/>
  <c r="S119" i="2"/>
  <c r="I119" i="2"/>
  <c r="AF118" i="2"/>
  <c r="Y117" i="2"/>
  <c r="AH116" i="2"/>
  <c r="H116" i="2"/>
  <c r="N115" i="2"/>
  <c r="J114" i="2"/>
  <c r="F113" i="2"/>
  <c r="AE112" i="2"/>
  <c r="J112" i="2"/>
  <c r="AE111" i="2"/>
  <c r="Q111" i="2"/>
  <c r="Z110" i="2"/>
  <c r="Q110" i="2"/>
  <c r="AJ109" i="2"/>
  <c r="I109" i="2"/>
  <c r="Z108" i="2"/>
  <c r="I108" i="2"/>
  <c r="AJ107" i="2"/>
  <c r="I107" i="2"/>
  <c r="Y106" i="2"/>
  <c r="AH105" i="2"/>
  <c r="Y105" i="2"/>
  <c r="N105" i="2"/>
  <c r="X104" i="2"/>
  <c r="H104" i="2"/>
  <c r="X103" i="2"/>
  <c r="F103" i="2"/>
  <c r="X102" i="2"/>
  <c r="F102" i="2"/>
  <c r="S101" i="2"/>
  <c r="M101" i="2"/>
  <c r="M100" i="2"/>
  <c r="K99" i="2"/>
  <c r="E99" i="2"/>
  <c r="K98" i="2"/>
  <c r="E98" i="2"/>
  <c r="AE97" i="2"/>
  <c r="D97" i="2"/>
  <c r="R96" i="2"/>
  <c r="AE95" i="2"/>
  <c r="J95" i="2"/>
  <c r="Z94" i="2"/>
  <c r="J94" i="2"/>
  <c r="AJ93" i="2"/>
  <c r="Q93" i="2"/>
  <c r="Z92" i="2"/>
  <c r="I92" i="2"/>
  <c r="Y91" i="2"/>
  <c r="I91" i="2"/>
  <c r="AH90" i="2"/>
  <c r="P90" i="2"/>
  <c r="AH89" i="2"/>
  <c r="N89" i="2"/>
  <c r="X88" i="2"/>
  <c r="H88" i="2"/>
  <c r="X87" i="2"/>
  <c r="F87" i="2"/>
  <c r="X86" i="2"/>
  <c r="F86" i="2"/>
  <c r="S85" i="2"/>
  <c r="M85" i="2"/>
  <c r="S84" i="2"/>
  <c r="E84" i="2"/>
  <c r="S83" i="2"/>
  <c r="K83" i="2"/>
  <c r="R82" i="2"/>
  <c r="AE81" i="2"/>
  <c r="D81" i="2"/>
  <c r="R80" i="2"/>
  <c r="AE79" i="2"/>
  <c r="J79" i="2"/>
  <c r="D79" i="2"/>
  <c r="Q78" i="2"/>
  <c r="Z77" i="2"/>
  <c r="Q77" i="2"/>
  <c r="Z76" i="2"/>
  <c r="I76" i="2"/>
  <c r="AJ75" i="2"/>
  <c r="I75" i="2"/>
  <c r="AH74" i="2"/>
  <c r="P74" i="2"/>
  <c r="Y73" i="2"/>
  <c r="H73" i="2"/>
  <c r="X72" i="2"/>
  <c r="AG71" i="2"/>
  <c r="F71" i="2"/>
  <c r="AG70" i="2"/>
  <c r="F70" i="2"/>
  <c r="AG69" i="2"/>
  <c r="M69" i="2"/>
  <c r="AF68" i="2"/>
  <c r="E68" i="2"/>
  <c r="AF67" i="2"/>
  <c r="K67" i="2"/>
  <c r="R66" i="2"/>
  <c r="E66" i="2"/>
  <c r="R65" i="2"/>
  <c r="D65" i="2"/>
  <c r="D64" i="2"/>
  <c r="Q63" i="2"/>
  <c r="Z62" i="2"/>
  <c r="AJ61" i="2"/>
  <c r="Q61" i="2"/>
  <c r="Z60" i="2"/>
  <c r="I60" i="2"/>
  <c r="AJ59" i="2"/>
  <c r="I59" i="2"/>
  <c r="Y58" i="2"/>
  <c r="H58" i="2"/>
  <c r="Y57" i="2"/>
  <c r="H57" i="2"/>
  <c r="X56" i="2"/>
  <c r="AG55" i="2"/>
  <c r="F55" i="2"/>
  <c r="AG54" i="2"/>
  <c r="F54" i="2"/>
  <c r="AG53" i="2"/>
  <c r="M53" i="2"/>
  <c r="AF52" i="2"/>
  <c r="E52" i="2"/>
  <c r="S51" i="2"/>
  <c r="E51" i="2"/>
  <c r="AF50" i="2"/>
  <c r="E50" i="2"/>
  <c r="R49" i="2"/>
  <c r="D49" i="2"/>
  <c r="J48" i="2"/>
  <c r="AE47" i="2"/>
  <c r="Q47" i="2"/>
  <c r="Z46" i="2"/>
  <c r="J46" i="2"/>
  <c r="AJ45" i="2"/>
  <c r="I45" i="2"/>
  <c r="Z44" i="2"/>
  <c r="P44" i="2"/>
  <c r="Y43" i="2"/>
  <c r="P43" i="2"/>
  <c r="AH42" i="2"/>
  <c r="H42" i="2"/>
  <c r="Y41" i="2"/>
  <c r="AH40" i="2"/>
  <c r="X40" i="2"/>
  <c r="AG39" i="2"/>
  <c r="X39" i="2"/>
  <c r="AG38" i="2"/>
  <c r="M38" i="2"/>
  <c r="M37" i="2"/>
  <c r="M36" i="2"/>
  <c r="K35" i="2"/>
  <c r="R34" i="2"/>
  <c r="E34" i="2"/>
  <c r="AE33" i="2"/>
  <c r="D33" i="2"/>
  <c r="R32" i="2"/>
  <c r="AE31" i="2"/>
  <c r="J31" i="2"/>
  <c r="D31" i="2"/>
  <c r="Q30" i="2"/>
  <c r="Z29" i="2"/>
  <c r="I29" i="2"/>
  <c r="Z28" i="2"/>
  <c r="I28" i="2"/>
  <c r="AJ27" i="2"/>
  <c r="P27" i="2"/>
  <c r="Y26" i="2"/>
  <c r="H26" i="2"/>
  <c r="Y25" i="2"/>
  <c r="AH24" i="2"/>
  <c r="X24" i="2"/>
  <c r="H24" i="2"/>
  <c r="X23" i="2"/>
  <c r="F23" i="2"/>
  <c r="X22" i="2"/>
  <c r="M22" i="2"/>
  <c r="M21" i="2"/>
  <c r="M20" i="2"/>
  <c r="K19" i="2"/>
  <c r="AF18" i="2"/>
  <c r="E18" i="2"/>
  <c r="AE17" i="2"/>
  <c r="D17" i="2"/>
  <c r="R16" i="2"/>
  <c r="AE15" i="2"/>
  <c r="J15" i="2"/>
  <c r="Z14" i="2"/>
  <c r="Q14" i="2"/>
  <c r="AJ13" i="2"/>
  <c r="I13" i="2"/>
  <c r="Z12" i="2"/>
  <c r="P12" i="2"/>
  <c r="Y11" i="2"/>
  <c r="I11" i="2"/>
  <c r="AH10" i="2"/>
  <c r="H10" i="2"/>
  <c r="Y9" i="2"/>
  <c r="N9" i="2"/>
  <c r="X8" i="2"/>
  <c r="H8" i="2"/>
  <c r="AG7" i="2"/>
  <c r="X7" i="2"/>
  <c r="AG6" i="2"/>
  <c r="F6" i="2"/>
  <c r="S5" i="2"/>
  <c r="X4" i="2"/>
  <c r="Y5" i="2"/>
</calcChain>
</file>

<file path=xl/sharedStrings.xml><?xml version="1.0" encoding="utf-8"?>
<sst xmlns="http://schemas.openxmlformats.org/spreadsheetml/2006/main" count="5896" uniqueCount="230">
  <si>
    <t>new_avm_num</t>
  </si>
  <si>
    <t>new_ain_hcode</t>
  </si>
  <si>
    <t>new_job_num</t>
  </si>
  <si>
    <t>new_vat_code</t>
  </si>
  <si>
    <t>avm_num</t>
  </si>
  <si>
    <t>ain_idate</t>
  </si>
  <si>
    <t>ain_amount</t>
  </si>
  <si>
    <t>coj_type</t>
  </si>
  <si>
    <t>ain_taxamt</t>
  </si>
  <si>
    <t>ain_duedt</t>
  </si>
  <si>
    <t>ain_discdt</t>
  </si>
  <si>
    <t>ain_discamt</t>
  </si>
  <si>
    <t>ain_desc</t>
  </si>
  <si>
    <t>ohd_num</t>
  </si>
  <si>
    <t>ain_supref</t>
  </si>
  <si>
    <t>ain_disttype</t>
  </si>
  <si>
    <t>job_num</t>
  </si>
  <si>
    <t>cur_code</t>
  </si>
  <si>
    <t>vat_code</t>
  </si>
  <si>
    <t>ain_netamt</t>
  </si>
  <si>
    <t>ain_fdate</t>
  </si>
  <si>
    <t>Supplier</t>
  </si>
  <si>
    <t>Inv date</t>
  </si>
  <si>
    <t>Gross Amount</t>
  </si>
  <si>
    <t>Type</t>
  </si>
  <si>
    <t>VAT Amount</t>
  </si>
  <si>
    <t>Due date</t>
  </si>
  <si>
    <t>Discount date</t>
  </si>
  <si>
    <t>Disc Amount</t>
  </si>
  <si>
    <t>Description</t>
  </si>
  <si>
    <t>Hold</t>
  </si>
  <si>
    <t>P/O</t>
  </si>
  <si>
    <t>Supplier Ref</t>
  </si>
  <si>
    <t>Distr. Lines Type</t>
  </si>
  <si>
    <t>Contract</t>
  </si>
  <si>
    <t>Currency</t>
  </si>
  <si>
    <t>VAT Code</t>
  </si>
  <si>
    <t>Net Amount</t>
  </si>
  <si>
    <t>Fincal date</t>
  </si>
  <si>
    <t>lo</t>
  </si>
  <si>
    <t>ch</t>
  </si>
  <si>
    <t>da</t>
  </si>
  <si>
    <t>de</t>
  </si>
  <si>
    <t>1</t>
  </si>
  <si>
    <t>3</t>
  </si>
  <si>
    <t>yes</t>
  </si>
  <si>
    <t>PINN</t>
  </si>
  <si>
    <t>C</t>
  </si>
  <si>
    <t>Quotes</t>
  </si>
  <si>
    <t>Key</t>
  </si>
  <si>
    <t>"$"</t>
  </si>
  <si>
    <t>source</t>
  </si>
  <si>
    <t>int_ref</t>
  </si>
  <si>
    <t>Lines</t>
  </si>
  <si>
    <t>summ2</t>
  </si>
  <si>
    <t>anal_type</t>
  </si>
  <si>
    <t>anal</t>
  </si>
  <si>
    <t>summ</t>
  </si>
  <si>
    <t>"E"</t>
  </si>
  <si>
    <t>summary2</t>
  </si>
  <si>
    <t>analysis</t>
  </si>
  <si>
    <t>summary</t>
  </si>
  <si>
    <t>LEAVE BLANK</t>
  </si>
  <si>
    <t>"</t>
  </si>
  <si>
    <t>"H"</t>
  </si>
  <si>
    <t>"PL"</t>
  </si>
  <si>
    <t>""</t>
  </si>
  <si>
    <t>"V"</t>
  </si>
  <si>
    <t>"D"</t>
  </si>
  <si>
    <t>Invoice date</t>
  </si>
  <si>
    <t>Gross amount</t>
  </si>
  <si>
    <t>Source ledger code</t>
  </si>
  <si>
    <t>Transaction type</t>
  </si>
  <si>
    <t>VAT amount</t>
  </si>
  <si>
    <t>Discount</t>
  </si>
  <si>
    <t>Hold code, reason</t>
  </si>
  <si>
    <t>P O number</t>
  </si>
  <si>
    <t>Supplier Reference</t>
  </si>
  <si>
    <t>Distribution type (R/P/C)</t>
  </si>
  <si>
    <t>Contract, Department, Sector</t>
  </si>
  <si>
    <t>Currency Code</t>
  </si>
  <si>
    <t>Internal reference</t>
  </si>
  <si>
    <t>Amount</t>
  </si>
  <si>
    <t>Analysis type (1 - Contract, 2 - Plant, 3 - General Ledger, 5 - Workshop)</t>
  </si>
  <si>
    <t>Analysis (for example, contract/cost code/category, G/L account)</t>
  </si>
  <si>
    <t>Effective Date</t>
  </si>
  <si>
    <t>Summary (YES/NO)</t>
  </si>
  <si>
    <t xml:space="preserve">P O Number  </t>
  </si>
  <si>
    <t>VAT code</t>
  </si>
  <si>
    <t>Goods amount</t>
  </si>
  <si>
    <t>Field Name</t>
  </si>
  <si>
    <t>PL</t>
  </si>
  <si>
    <t>Yes</t>
  </si>
  <si>
    <t>BRI001</t>
  </si>
  <si>
    <t>GBP</t>
  </si>
  <si>
    <t>P20</t>
  </si>
  <si>
    <t>1001.L730.L</t>
  </si>
  <si>
    <t>1001.X710.X</t>
  </si>
  <si>
    <t>1001.P940.P</t>
  </si>
  <si>
    <t>1001.X540.X</t>
  </si>
  <si>
    <t>1001.M640.M</t>
  </si>
  <si>
    <t>Units</t>
  </si>
  <si>
    <t>Sales Tax Code</t>
  </si>
  <si>
    <t>Quantity</t>
  </si>
  <si>
    <t xml:space="preserve">PO Number  </t>
  </si>
  <si>
    <t>tax_code</t>
  </si>
  <si>
    <t>0248/AIJ844</t>
  </si>
  <si>
    <t>0248AIJ844</t>
  </si>
  <si>
    <t>0248AIJ861</t>
  </si>
  <si>
    <t>0320BHE666</t>
  </si>
  <si>
    <t>0320BHE681</t>
  </si>
  <si>
    <t>0320BHF001</t>
  </si>
  <si>
    <t>0320BHF302</t>
  </si>
  <si>
    <t>0320BHF346</t>
  </si>
  <si>
    <t>0320BHF351</t>
  </si>
  <si>
    <t>0320BHF356</t>
  </si>
  <si>
    <t>0320BHF410</t>
  </si>
  <si>
    <t>0320BHF705</t>
  </si>
  <si>
    <t>0320BHF725</t>
  </si>
  <si>
    <t>0320BHF729</t>
  </si>
  <si>
    <t>0320BHF731</t>
  </si>
  <si>
    <t>0320BHG026</t>
  </si>
  <si>
    <t>0320BHG052</t>
  </si>
  <si>
    <t>0320BHG356</t>
  </si>
  <si>
    <t>0320BHG633</t>
  </si>
  <si>
    <t>0320BHG651</t>
  </si>
  <si>
    <t>0320BHI271</t>
  </si>
  <si>
    <t>0320BHI330</t>
  </si>
  <si>
    <t>0320BHI634</t>
  </si>
  <si>
    <t>0320BHI664</t>
  </si>
  <si>
    <t>0320BHJ603</t>
  </si>
  <si>
    <t>0320BHK918</t>
  </si>
  <si>
    <t>0320BHK961</t>
  </si>
  <si>
    <t>0320BHK976</t>
  </si>
  <si>
    <t>0320BHK979</t>
  </si>
  <si>
    <t>0320BHK979+</t>
  </si>
  <si>
    <t>0321BGO980</t>
  </si>
  <si>
    <t>0321BHF716</t>
  </si>
  <si>
    <t>0321BHF717</t>
  </si>
  <si>
    <t>0321BHH901</t>
  </si>
  <si>
    <t>0321BHI328</t>
  </si>
  <si>
    <t>0321BHI675</t>
  </si>
  <si>
    <t>0321BHK270</t>
  </si>
  <si>
    <t>0321BHK935</t>
  </si>
  <si>
    <t>0321BHL278</t>
  </si>
  <si>
    <t>0321BHL288</t>
  </si>
  <si>
    <t>0332AJO058</t>
  </si>
  <si>
    <t>0332AJO063</t>
  </si>
  <si>
    <t>0332AJP343</t>
  </si>
  <si>
    <t>0332AJP355</t>
  </si>
  <si>
    <t>0332AJP456</t>
  </si>
  <si>
    <t>0332AJP657</t>
  </si>
  <si>
    <t>0332AJP670</t>
  </si>
  <si>
    <t>0484AQH127</t>
  </si>
  <si>
    <t>0484AQJ170</t>
  </si>
  <si>
    <t>0516AHL192</t>
  </si>
  <si>
    <t>0550ADV102</t>
  </si>
  <si>
    <t>0550ADV267</t>
  </si>
  <si>
    <t>0550ADV303</t>
  </si>
  <si>
    <t>0550ADV469</t>
  </si>
  <si>
    <t>0550ADV523</t>
  </si>
  <si>
    <t>0550ADV560</t>
  </si>
  <si>
    <t>0550ADV674</t>
  </si>
  <si>
    <t>0550ADV724</t>
  </si>
  <si>
    <t>0550ADV759</t>
  </si>
  <si>
    <t>0593AFW345</t>
  </si>
  <si>
    <t>0593AFW346</t>
  </si>
  <si>
    <t>0593AFW525</t>
  </si>
  <si>
    <t>0593AFX465</t>
  </si>
  <si>
    <t>0594AJZ770</t>
  </si>
  <si>
    <t>0596AFV253</t>
  </si>
  <si>
    <t>0596AFX366</t>
  </si>
  <si>
    <t>0596AFX766</t>
  </si>
  <si>
    <t>0596AFX823</t>
  </si>
  <si>
    <t>0596AFX847</t>
  </si>
  <si>
    <t>0596AFX914</t>
  </si>
  <si>
    <t>0596AFY238</t>
  </si>
  <si>
    <t>0634ABP508</t>
  </si>
  <si>
    <t>0634ABP690</t>
  </si>
  <si>
    <t>0678AJN167</t>
  </si>
  <si>
    <t>0734AHG394</t>
  </si>
  <si>
    <t>3016AMT168</t>
  </si>
  <si>
    <t>3166AFX408</t>
  </si>
  <si>
    <t>3166AFX418</t>
  </si>
  <si>
    <t>3166AFX428</t>
  </si>
  <si>
    <t>3166AFX450</t>
  </si>
  <si>
    <t>3166AFX475</t>
  </si>
  <si>
    <t>3166AFX483</t>
  </si>
  <si>
    <t>3166AFX504</t>
  </si>
  <si>
    <t>PCRN</t>
  </si>
  <si>
    <t>3166AFX523</t>
  </si>
  <si>
    <t>3166AFX604</t>
  </si>
  <si>
    <t>3166AFY170</t>
  </si>
  <si>
    <t>3166AFY414</t>
  </si>
  <si>
    <t>316GAFX496</t>
  </si>
  <si>
    <t>3310AJB830</t>
  </si>
  <si>
    <t>3310AJC166</t>
  </si>
  <si>
    <t>3328/AEJ171</t>
  </si>
  <si>
    <t>3328AEI638</t>
  </si>
  <si>
    <t>3328AEI644</t>
  </si>
  <si>
    <t>3328AEI680</t>
  </si>
  <si>
    <t>3328AEI696</t>
  </si>
  <si>
    <t>3328AEI716</t>
  </si>
  <si>
    <t>3328AEI749</t>
  </si>
  <si>
    <t>3328AEI800</t>
  </si>
  <si>
    <t>3328AEI852</t>
  </si>
  <si>
    <t>3328AEI915</t>
  </si>
  <si>
    <t>3328AEI927</t>
  </si>
  <si>
    <t>3328AEI928</t>
  </si>
  <si>
    <t>3328AEJ006</t>
  </si>
  <si>
    <t>3328AEJ091</t>
  </si>
  <si>
    <t>3328AEJ130</t>
  </si>
  <si>
    <t>3328AEJ270</t>
  </si>
  <si>
    <t>3328AEJ392</t>
  </si>
  <si>
    <t>3328AEJ406</t>
  </si>
  <si>
    <t>3328AEJ431</t>
  </si>
  <si>
    <t>3328AEJ474</t>
  </si>
  <si>
    <t>3328AEJ498</t>
  </si>
  <si>
    <t>3328AEJ521</t>
  </si>
  <si>
    <t>3694AFT954</t>
  </si>
  <si>
    <t>3694AFU249</t>
  </si>
  <si>
    <t>3694AFU319</t>
  </si>
  <si>
    <t>3694AFU417</t>
  </si>
  <si>
    <t>3694AFU533</t>
  </si>
  <si>
    <t>3694AFU804</t>
  </si>
  <si>
    <t>3694AFV159</t>
  </si>
  <si>
    <t>3694AFV565</t>
  </si>
  <si>
    <t>5030ADU251</t>
  </si>
  <si>
    <t>9296AFD808</t>
  </si>
  <si>
    <t>AA,Awaiting Approval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</si>
</sst>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/mm/yyyy;@"/>
    <numFmt numFmtId="165" formatCode="dd/mm/yy;@"/>
    <numFmt numFmtId="166" formatCode="0.000"/>
    <numFmt numFmtId="167" formatCode="0.0000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sz val="10"/>
      <name val="Tahoma"/>
      <family val="2"/>
    </font>
    <font>
      <sz val="10"/>
      <color theme="1"/>
      <name val="Tahoma"/>
      <family val="2"/>
    </font>
    <font>
      <sz val="8"/>
      <color indexed="8"/>
      <name val="Tahoma"/>
    </font>
    <font>
      <sz val="12"/>
      <color rgb="FF000000"/>
      <name val="Helvetica"/>
    </font>
    <font>
      <b/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0" borderId="0"/>
    <xf numFmtId="0" fontId="7" fillId="5" borderId="3" applyNumberFormat="0" applyAlignment="0" applyProtection="0"/>
    <xf numFmtId="0" fontId="8" fillId="7" borderId="4" applyNumberFormat="0" applyAlignment="0" applyProtection="0"/>
  </cellStyleXfs>
  <cellXfs count="51">
    <xf numFmtId="0" fontId="0" fillId="0" borderId="0" xfId="0"/>
    <xf numFmtId="49" fontId="0" fillId="0" borderId="0" xfId="0" applyNumberFormat="1"/>
    <xf numFmtId="0" fontId="0" fillId="0" borderId="0" xfId="0" applyNumberFormat="1" applyFill="1"/>
    <xf numFmtId="49" fontId="0" fillId="0" borderId="0" xfId="0" applyNumberFormat="1" applyFill="1"/>
    <xf numFmtId="49" fontId="0" fillId="2" borderId="0" xfId="0" applyNumberFormat="1" applyFill="1"/>
    <xf numFmtId="14" fontId="0" fillId="0" borderId="0" xfId="0" applyNumberFormat="1"/>
    <xf numFmtId="2" fontId="0" fillId="0" borderId="0" xfId="0" applyNumberFormat="1"/>
    <xf numFmtId="0" fontId="0" fillId="0" borderId="0" xfId="0" applyAlignment="1"/>
    <xf numFmtId="164" fontId="0" fillId="0" borderId="0" xfId="0" applyNumberFormat="1"/>
    <xf numFmtId="0" fontId="0" fillId="0" borderId="0" xfId="0" applyNumberFormat="1"/>
    <xf numFmtId="1" fontId="0" fillId="0" borderId="0" xfId="0" applyNumberFormat="1" applyAlignment="1">
      <alignment horizontal="left"/>
    </xf>
    <xf numFmtId="0" fontId="0" fillId="2" borderId="0" xfId="0" applyFill="1" applyAlignment="1"/>
    <xf numFmtId="0" fontId="2" fillId="0" borderId="0" xfId="0" applyFont="1" applyAlignment="1"/>
    <xf numFmtId="0" fontId="0" fillId="3" borderId="0" xfId="0" applyFill="1" applyAlignment="1"/>
    <xf numFmtId="165" fontId="0" fillId="0" borderId="0" xfId="0" applyNumberFormat="1"/>
    <xf numFmtId="49" fontId="0" fillId="4" borderId="0" xfId="0" applyNumberFormat="1" applyFill="1"/>
    <xf numFmtId="0" fontId="0" fillId="4" borderId="0" xfId="0" applyNumberFormat="1" applyFill="1"/>
    <xf numFmtId="1" fontId="0" fillId="4" borderId="0" xfId="0" applyNumberFormat="1" applyFill="1" applyAlignment="1">
      <alignment horizontal="left"/>
    </xf>
    <xf numFmtId="0" fontId="0" fillId="2" borderId="0" xfId="0" applyNumberFormat="1" applyFill="1"/>
    <xf numFmtId="49" fontId="0" fillId="3" borderId="0" xfId="0" applyNumberFormat="1" applyFill="1"/>
    <xf numFmtId="165" fontId="0" fillId="3" borderId="0" xfId="0" applyNumberFormat="1" applyFill="1"/>
    <xf numFmtId="0" fontId="0" fillId="0" borderId="0" xfId="0" quotePrefix="1"/>
    <xf numFmtId="0" fontId="0" fillId="0" borderId="1" xfId="0" applyFill="1" applyBorder="1"/>
    <xf numFmtId="0" fontId="4" fillId="0" borderId="1" xfId="0" applyFont="1" applyFill="1" applyBorder="1"/>
    <xf numFmtId="14" fontId="4" fillId="0" borderId="1" xfId="0" applyNumberFormat="1" applyFont="1" applyFill="1" applyBorder="1"/>
    <xf numFmtId="0" fontId="4" fillId="0" borderId="1" xfId="0" applyFont="1" applyFill="1" applyBorder="1" applyAlignment="1">
      <alignment horizontal="left"/>
    </xf>
    <xf numFmtId="0" fontId="4" fillId="0" borderId="1" xfId="0" applyFont="1" applyFill="1" applyBorder="1" applyAlignment="1"/>
    <xf numFmtId="10" fontId="4" fillId="0" borderId="1" xfId="0" applyNumberFormat="1" applyFont="1" applyFill="1" applyBorder="1"/>
    <xf numFmtId="0" fontId="3" fillId="0" borderId="1" xfId="0" applyFont="1" applyFill="1" applyBorder="1" applyAlignment="1"/>
    <xf numFmtId="0" fontId="0" fillId="0" borderId="2" xfId="0" applyBorder="1" applyAlignment="1"/>
    <xf numFmtId="166" fontId="0" fillId="0" borderId="0" xfId="0" applyNumberFormat="1"/>
    <xf numFmtId="167" fontId="0" fillId="0" borderId="0" xfId="0" applyNumberFormat="1"/>
    <xf numFmtId="14" fontId="5" fillId="0" borderId="0" xfId="0" applyNumberFormat="1" applyFont="1" applyAlignment="1">
      <alignment horizontal="left"/>
    </xf>
    <xf numFmtId="0" fontId="7" fillId="5" borderId="3" xfId="2"/>
    <xf numFmtId="164" fontId="7" fillId="5" borderId="3" xfId="2" applyNumberFormat="1"/>
    <xf numFmtId="49" fontId="7" fillId="5" borderId="3" xfId="2" applyNumberFormat="1"/>
    <xf numFmtId="0" fontId="7" fillId="5" borderId="3" xfId="2" applyNumberFormat="1"/>
    <xf numFmtId="1" fontId="7" fillId="5" borderId="3" xfId="2" applyNumberFormat="1" applyAlignment="1">
      <alignment horizontal="left"/>
    </xf>
    <xf numFmtId="0" fontId="7" fillId="5" borderId="3" xfId="2" applyAlignment="1"/>
    <xf numFmtId="165" fontId="7" fillId="5" borderId="3" xfId="2" applyNumberFormat="1"/>
    <xf numFmtId="2" fontId="4" fillId="0" borderId="1" xfId="0" applyNumberFormat="1" applyFont="1" applyFill="1" applyBorder="1" applyAlignment="1">
      <alignment horizontal="right"/>
    </xf>
    <xf numFmtId="2" fontId="4" fillId="0" borderId="1" xfId="0" applyNumberFormat="1" applyFont="1" applyFill="1" applyBorder="1"/>
    <xf numFmtId="14" fontId="5" fillId="6" borderId="0" xfId="0" applyNumberFormat="1" applyFont="1" applyFill="1" applyAlignment="1">
      <alignment horizontal="left"/>
    </xf>
    <xf numFmtId="0" fontId="8" fillId="7" borderId="4" xfId="3"/>
    <xf numFmtId="14" fontId="8" fillId="7" borderId="4" xfId="3" applyNumberFormat="1" applyAlignment="1">
      <alignment horizontal="left"/>
    </xf>
    <xf numFmtId="2" fontId="8" fillId="7" borderId="4" xfId="3" applyNumberFormat="1"/>
    <xf numFmtId="14" fontId="8" fillId="7" borderId="4" xfId="3" applyNumberFormat="1"/>
    <xf numFmtId="0" fontId="8" fillId="7" borderId="4" xfId="3" applyAlignment="1">
      <alignment horizontal="left"/>
    </xf>
    <xf numFmtId="0" fontId="8" fillId="7" borderId="4" xfId="3" applyAlignment="1"/>
    <xf numFmtId="10" fontId="8" fillId="7" borderId="4" xfId="3" applyNumberFormat="1"/>
    <xf numFmtId="2" fontId="8" fillId="7" borderId="4" xfId="3" applyNumberFormat="1" applyAlignment="1">
      <alignment horizontal="right"/>
    </xf>
  </cellXfs>
  <cellStyles count="4">
    <cellStyle name="Calculation" xfId="3" builtinId="22"/>
    <cellStyle name="Check Cell" xfId="2" builtinId="23"/>
    <cellStyle name="Normal" xfId="0" builtinId="0"/>
    <cellStyle name="Normal 2" xfId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76200</xdr:rowOff>
        </xdr:from>
        <xdr:to>
          <xdr:col>2</xdr:col>
          <xdr:colOff>99060</xdr:colOff>
          <xdr:row>2</xdr:row>
          <xdr:rowOff>76200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Copy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AR125"/>
  <sheetViews>
    <sheetView topLeftCell="F1" zoomScale="80" zoomScaleNormal="80" zoomScalePageLayoutView="115" workbookViewId="0">
      <pane ySplit="2" topLeftCell="A3" activePane="bottomLeft" state="frozen"/>
      <selection pane="bottomLeft" activeCell="I10" sqref="I10"/>
    </sheetView>
  </sheetViews>
  <sheetFormatPr defaultColWidth="11" defaultRowHeight="15.6" x14ac:dyDescent="0.3"/>
  <cols>
    <col min="1" max="1" width="11.5" customWidth="1"/>
    <col min="3" max="3" width="12.5" bestFit="1" customWidth="1"/>
    <col min="4" max="4" width="16.69921875" customWidth="1"/>
    <col min="5" max="5" width="14.69921875" bestFit="1" customWidth="1"/>
    <col min="6" max="6" width="11.19921875" bestFit="1" customWidth="1"/>
    <col min="7" max="7" width="10.69921875" bestFit="1" customWidth="1"/>
    <col min="8" max="8" width="12.296875" bestFit="1" customWidth="1"/>
    <col min="9" max="9" width="12.69921875" bestFit="1" customWidth="1"/>
    <col min="10" max="10" width="11" customWidth="1"/>
    <col min="11" max="11" width="20.296875" bestFit="1" customWidth="1"/>
    <col min="12" max="12" width="11" customWidth="1"/>
    <col min="13" max="13" width="16.5" bestFit="1" customWidth="1"/>
    <col min="14" max="14" width="21.19921875" bestFit="1" customWidth="1"/>
    <col min="15" max="15" width="25.19921875" bestFit="1" customWidth="1"/>
    <col min="16" max="16" width="13" bestFit="1" customWidth="1"/>
    <col min="17" max="17" width="15.796875" bestFit="1" customWidth="1"/>
    <col min="18" max="20" width="11" customWidth="1"/>
    <col min="21" max="21" width="13" bestFit="1" customWidth="1"/>
    <col min="22" max="22" width="11.19921875" bestFit="1" customWidth="1"/>
    <col min="23" max="23" width="13.19921875" bestFit="1" customWidth="1"/>
    <col min="24" max="24" width="16.69921875" bestFit="1" customWidth="1"/>
    <col min="25" max="25" width="3.69921875" bestFit="1" customWidth="1"/>
    <col min="26" max="26" width="5.296875" bestFit="1" customWidth="1"/>
    <col min="27" max="27" width="3.69921875" bestFit="1" customWidth="1"/>
    <col min="28" max="28" width="10.5" bestFit="1" customWidth="1"/>
    <col min="29" max="29" width="59.09765625" customWidth="1"/>
    <col min="30" max="30" width="53.796875" bestFit="1" customWidth="1"/>
    <col min="31" max="31" width="12.5" bestFit="1" customWidth="1"/>
    <col min="32" max="32" width="16.69921875" bestFit="1" customWidth="1"/>
    <col min="33" max="33" width="10.296875" bestFit="1" customWidth="1"/>
    <col min="34" max="34" width="12" bestFit="1" customWidth="1"/>
    <col min="35" max="35" width="16.19921875" bestFit="1" customWidth="1"/>
    <col min="36" max="37" width="12" customWidth="1"/>
    <col min="38" max="39" width="6.296875" bestFit="1" customWidth="1"/>
  </cols>
  <sheetData>
    <row r="1" spans="1:44" ht="16.8" thickTop="1" thickBot="1" x14ac:dyDescent="0.35">
      <c r="A1" s="33" t="s">
        <v>4</v>
      </c>
      <c r="B1" s="34" t="s">
        <v>5</v>
      </c>
      <c r="C1" s="35" t="s">
        <v>6</v>
      </c>
      <c r="D1" s="35" t="s">
        <v>51</v>
      </c>
      <c r="E1" s="35" t="s">
        <v>7</v>
      </c>
      <c r="F1" s="36" t="s">
        <v>8</v>
      </c>
      <c r="G1" s="35" t="s">
        <v>9</v>
      </c>
      <c r="H1" s="35" t="s">
        <v>10</v>
      </c>
      <c r="I1" s="36" t="s">
        <v>11</v>
      </c>
      <c r="J1" s="35" t="s">
        <v>12</v>
      </c>
      <c r="K1" s="35" t="s">
        <v>1</v>
      </c>
      <c r="L1" s="35" t="s">
        <v>13</v>
      </c>
      <c r="M1" s="37" t="s">
        <v>14</v>
      </c>
      <c r="N1" s="35" t="s">
        <v>15</v>
      </c>
      <c r="O1" s="35" t="s">
        <v>16</v>
      </c>
      <c r="P1" s="35" t="s">
        <v>17</v>
      </c>
      <c r="Q1" s="35" t="s">
        <v>52</v>
      </c>
      <c r="R1" s="38" t="s">
        <v>50</v>
      </c>
      <c r="S1" s="38" t="s">
        <v>53</v>
      </c>
      <c r="T1" s="38" t="s">
        <v>50</v>
      </c>
      <c r="U1" s="35" t="s">
        <v>18</v>
      </c>
      <c r="V1" s="36" t="s">
        <v>8</v>
      </c>
      <c r="W1" s="36" t="s">
        <v>19</v>
      </c>
      <c r="X1" s="35" t="s">
        <v>54</v>
      </c>
      <c r="Y1" s="38" t="s">
        <v>50</v>
      </c>
      <c r="Z1" s="38" t="s">
        <v>53</v>
      </c>
      <c r="AA1" s="38" t="s">
        <v>50</v>
      </c>
      <c r="AB1" s="35" t="s">
        <v>19</v>
      </c>
      <c r="AC1" s="35" t="s">
        <v>55</v>
      </c>
      <c r="AD1" s="35" t="s">
        <v>56</v>
      </c>
      <c r="AE1" s="39" t="s">
        <v>20</v>
      </c>
      <c r="AF1" s="35" t="s">
        <v>57</v>
      </c>
      <c r="AG1" s="35" t="s">
        <v>12</v>
      </c>
      <c r="AH1" s="35" t="s">
        <v>13</v>
      </c>
      <c r="AI1" s="35" t="s">
        <v>105</v>
      </c>
      <c r="AJ1" s="35"/>
      <c r="AK1" s="35"/>
      <c r="AL1" s="38" t="s">
        <v>50</v>
      </c>
      <c r="AM1" s="38" t="s">
        <v>58</v>
      </c>
    </row>
    <row r="2" spans="1:44" ht="16.8" thickTop="1" thickBot="1" x14ac:dyDescent="0.35">
      <c r="A2" s="33" t="s">
        <v>21</v>
      </c>
      <c r="B2" s="33" t="s">
        <v>69</v>
      </c>
      <c r="C2" s="33" t="s">
        <v>70</v>
      </c>
      <c r="D2" s="33" t="s">
        <v>71</v>
      </c>
      <c r="E2" s="33" t="s">
        <v>72</v>
      </c>
      <c r="F2" s="33" t="s">
        <v>73</v>
      </c>
      <c r="G2" s="33" t="s">
        <v>26</v>
      </c>
      <c r="H2" s="33" t="s">
        <v>27</v>
      </c>
      <c r="I2" s="33" t="s">
        <v>74</v>
      </c>
      <c r="J2" s="33" t="s">
        <v>29</v>
      </c>
      <c r="K2" s="33" t="s">
        <v>75</v>
      </c>
      <c r="L2" s="33" t="s">
        <v>76</v>
      </c>
      <c r="M2" s="33" t="s">
        <v>77</v>
      </c>
      <c r="N2" s="33" t="s">
        <v>78</v>
      </c>
      <c r="O2" s="33" t="s">
        <v>79</v>
      </c>
      <c r="P2" s="33" t="s">
        <v>80</v>
      </c>
      <c r="Q2" s="33" t="s">
        <v>81</v>
      </c>
      <c r="R2" s="33"/>
      <c r="S2" s="33"/>
      <c r="T2" s="33"/>
      <c r="U2" s="33" t="s">
        <v>88</v>
      </c>
      <c r="V2" s="33" t="s">
        <v>73</v>
      </c>
      <c r="W2" s="33" t="s">
        <v>89</v>
      </c>
      <c r="X2" s="33" t="s">
        <v>86</v>
      </c>
      <c r="Y2" s="33"/>
      <c r="Z2" s="33"/>
      <c r="AA2" s="33"/>
      <c r="AB2" s="33" t="s">
        <v>82</v>
      </c>
      <c r="AC2" s="33" t="s">
        <v>83</v>
      </c>
      <c r="AD2" s="33" t="s">
        <v>84</v>
      </c>
      <c r="AE2" s="33" t="s">
        <v>85</v>
      </c>
      <c r="AF2" s="33" t="s">
        <v>86</v>
      </c>
      <c r="AG2" s="33" t="s">
        <v>29</v>
      </c>
      <c r="AH2" s="33" t="s">
        <v>104</v>
      </c>
      <c r="AI2" s="33" t="s">
        <v>102</v>
      </c>
      <c r="AJ2" s="33" t="s">
        <v>103</v>
      </c>
      <c r="AK2" s="33" t="s">
        <v>101</v>
      </c>
      <c r="AL2" s="33"/>
      <c r="AM2" s="33"/>
    </row>
    <row r="3" spans="1:44" ht="16.2" thickTop="1" x14ac:dyDescent="0.3">
      <c r="A3" s="43"/>
      <c r="B3" s="44"/>
      <c r="C3" s="45"/>
      <c r="D3" s="43" t="s">
        <v>91</v>
      </c>
      <c r="E3" s="43" t="s">
        <v>46</v>
      </c>
      <c r="F3" s="45"/>
      <c r="G3" s="46">
        <f>B3+30</f>
        <v>30</v>
      </c>
      <c r="H3" s="46">
        <f>B3</f>
        <v>0</v>
      </c>
      <c r="I3" s="43">
        <v>0</v>
      </c>
      <c r="J3" s="43"/>
      <c r="K3" s="43"/>
      <c r="L3" s="43"/>
      <c r="M3" s="43"/>
      <c r="N3" s="43" t="s">
        <v>47</v>
      </c>
      <c r="O3" s="47"/>
      <c r="P3" s="43" t="s">
        <v>94</v>
      </c>
      <c r="Q3" s="43"/>
      <c r="R3" s="48" t="s">
        <v>50</v>
      </c>
      <c r="S3" s="43"/>
      <c r="T3" s="48" t="s">
        <v>50</v>
      </c>
      <c r="U3" s="49"/>
      <c r="V3" s="50">
        <f>F3</f>
        <v>0</v>
      </c>
      <c r="W3" s="50">
        <f>C3-F3</f>
        <v>0</v>
      </c>
      <c r="X3" s="43" t="s">
        <v>92</v>
      </c>
      <c r="Y3" s="48" t="s">
        <v>50</v>
      </c>
      <c r="Z3" s="43"/>
      <c r="AA3" s="48" t="s">
        <v>50</v>
      </c>
      <c r="AB3" s="45">
        <f>W3</f>
        <v>0</v>
      </c>
      <c r="AC3" s="43"/>
      <c r="AD3" s="43"/>
      <c r="AE3" s="46"/>
      <c r="AF3" s="43" t="s">
        <v>92</v>
      </c>
      <c r="AG3" s="43">
        <f>J3</f>
        <v>0</v>
      </c>
      <c r="AH3" s="43"/>
      <c r="AI3" s="49">
        <f>U3</f>
        <v>0</v>
      </c>
      <c r="AJ3" s="43"/>
      <c r="AK3" s="43"/>
      <c r="AL3" s="48" t="s">
        <v>50</v>
      </c>
      <c r="AM3" s="48" t="s">
        <v>58</v>
      </c>
    </row>
    <row r="4" spans="1:44" x14ac:dyDescent="0.3">
      <c r="B4" s="32"/>
      <c r="C4" s="6"/>
      <c r="F4" s="6"/>
      <c r="G4" s="5"/>
      <c r="H4" s="5"/>
      <c r="N4" s="23"/>
      <c r="O4" s="25"/>
      <c r="P4" s="23"/>
      <c r="Q4" s="23"/>
      <c r="R4" s="26" t="s">
        <v>50</v>
      </c>
      <c r="S4" s="23"/>
      <c r="T4" s="26" t="s">
        <v>50</v>
      </c>
      <c r="U4" s="27" t="s">
        <v>95</v>
      </c>
      <c r="V4" s="40">
        <f>F4</f>
        <v>0</v>
      </c>
      <c r="W4" s="40">
        <f>C4-F4</f>
        <v>0</v>
      </c>
      <c r="X4" s="23" t="s">
        <v>92</v>
      </c>
      <c r="Y4" s="26" t="s">
        <v>50</v>
      </c>
      <c r="Z4" s="23"/>
      <c r="AA4" s="26" t="s">
        <v>50</v>
      </c>
      <c r="AB4" s="41">
        <f>W4</f>
        <v>0</v>
      </c>
      <c r="AC4" s="23">
        <v>1</v>
      </c>
      <c r="AD4" s="23" t="s">
        <v>100</v>
      </c>
      <c r="AE4" s="24">
        <v>42277</v>
      </c>
      <c r="AF4" s="23" t="s">
        <v>92</v>
      </c>
      <c r="AG4" s="23">
        <f>J4</f>
        <v>0</v>
      </c>
      <c r="AH4" s="23"/>
      <c r="AI4" s="27" t="str">
        <f>U4</f>
        <v>P20</v>
      </c>
      <c r="AJ4" s="23"/>
      <c r="AK4" s="23"/>
      <c r="AL4" s="26" t="s">
        <v>50</v>
      </c>
      <c r="AM4" s="28" t="s">
        <v>58</v>
      </c>
      <c r="AP4" s="30"/>
      <c r="AQ4" s="30"/>
    </row>
    <row r="5" spans="1:44" x14ac:dyDescent="0.3">
      <c r="B5" s="32"/>
      <c r="C5" s="6"/>
      <c r="F5" s="6"/>
      <c r="G5" s="5"/>
      <c r="H5" s="5"/>
      <c r="N5" s="23"/>
      <c r="O5" s="25"/>
      <c r="P5" s="23"/>
      <c r="Q5" s="23"/>
      <c r="R5" s="26" t="s">
        <v>50</v>
      </c>
      <c r="S5" s="23"/>
      <c r="T5" s="26" t="s">
        <v>50</v>
      </c>
      <c r="U5" s="27" t="s">
        <v>95</v>
      </c>
      <c r="V5" s="40">
        <f t="shared" ref="V5:V54" si="0">F5</f>
        <v>0</v>
      </c>
      <c r="W5" s="40">
        <f t="shared" ref="W5:W54" si="1">C5-F5</f>
        <v>0</v>
      </c>
      <c r="X5" s="23" t="s">
        <v>92</v>
      </c>
      <c r="Y5" s="26" t="s">
        <v>50</v>
      </c>
      <c r="Z5" s="23"/>
      <c r="AA5" s="26" t="s">
        <v>50</v>
      </c>
      <c r="AB5" s="41">
        <f t="shared" ref="AB5:AB54" si="2">W5</f>
        <v>0</v>
      </c>
      <c r="AC5" s="23">
        <v>1</v>
      </c>
      <c r="AD5" s="23" t="s">
        <v>96</v>
      </c>
      <c r="AE5" s="24">
        <v>42277</v>
      </c>
      <c r="AF5" s="23" t="s">
        <v>92</v>
      </c>
      <c r="AG5" s="23">
        <f t="shared" ref="AG5:AG54" si="3">J5</f>
        <v>0</v>
      </c>
      <c r="AH5" s="23"/>
      <c r="AI5" s="27" t="str">
        <f>U5</f>
        <v>P20</v>
      </c>
      <c r="AJ5" s="23"/>
      <c r="AK5" s="23"/>
      <c r="AL5" s="26" t="s">
        <v>50</v>
      </c>
      <c r="AM5" s="28" t="s">
        <v>58</v>
      </c>
      <c r="AP5" s="30"/>
      <c r="AQ5" s="30"/>
      <c r="AR5" s="31"/>
    </row>
    <row r="6" spans="1:44" x14ac:dyDescent="0.3">
      <c r="B6" s="42"/>
      <c r="C6" s="6"/>
      <c r="F6" s="6"/>
      <c r="G6" s="5"/>
      <c r="H6" s="5"/>
      <c r="N6" s="23"/>
      <c r="O6" s="25"/>
      <c r="P6" s="23"/>
      <c r="Q6" s="23"/>
      <c r="R6" s="26" t="s">
        <v>50</v>
      </c>
      <c r="S6" s="23"/>
      <c r="T6" s="26" t="s">
        <v>50</v>
      </c>
      <c r="U6" s="27" t="s">
        <v>95</v>
      </c>
      <c r="V6" s="40">
        <f t="shared" si="0"/>
        <v>0</v>
      </c>
      <c r="W6" s="40">
        <f t="shared" si="1"/>
        <v>0</v>
      </c>
      <c r="X6" s="23" t="s">
        <v>92</v>
      </c>
      <c r="Y6" s="26" t="s">
        <v>50</v>
      </c>
      <c r="Z6" s="23"/>
      <c r="AA6" s="26" t="s">
        <v>50</v>
      </c>
      <c r="AB6" s="41">
        <f t="shared" si="2"/>
        <v>0</v>
      </c>
      <c r="AC6" s="23">
        <v>1</v>
      </c>
      <c r="AD6" s="23" t="s">
        <v>96</v>
      </c>
      <c r="AE6" s="24">
        <v>42277</v>
      </c>
      <c r="AF6" s="23" t="s">
        <v>92</v>
      </c>
      <c r="AG6" s="23">
        <f t="shared" si="3"/>
        <v>0</v>
      </c>
      <c r="AH6" s="23"/>
      <c r="AI6" s="27" t="str">
        <f t="shared" ref="AI6:AI54" si="4">U6</f>
        <v>P20</v>
      </c>
      <c r="AJ6" s="23"/>
      <c r="AK6" s="23"/>
      <c r="AL6" s="26" t="s">
        <v>50</v>
      </c>
      <c r="AM6" s="28" t="s">
        <v>58</v>
      </c>
    </row>
    <row r="7" spans="1:44" x14ac:dyDescent="0.3">
      <c r="B7" s="32"/>
      <c r="C7" s="6"/>
      <c r="F7" s="6"/>
      <c r="G7" s="5"/>
      <c r="H7" s="5"/>
      <c r="N7" s="23"/>
      <c r="O7" s="25"/>
      <c r="P7" s="23"/>
      <c r="Q7" s="23"/>
      <c r="R7" s="26" t="s">
        <v>50</v>
      </c>
      <c r="S7" s="23"/>
      <c r="T7" s="26" t="s">
        <v>50</v>
      </c>
      <c r="U7" s="27" t="s">
        <v>95</v>
      </c>
      <c r="V7" s="40">
        <f t="shared" si="0"/>
        <v>0</v>
      </c>
      <c r="W7" s="40">
        <f t="shared" si="1"/>
        <v>0</v>
      </c>
      <c r="X7" s="23" t="s">
        <v>92</v>
      </c>
      <c r="Y7" s="26" t="s">
        <v>50</v>
      </c>
      <c r="Z7" s="23"/>
      <c r="AA7" s="26" t="s">
        <v>50</v>
      </c>
      <c r="AB7" s="41">
        <f t="shared" si="2"/>
        <v>0</v>
      </c>
      <c r="AC7" s="23">
        <v>1</v>
      </c>
      <c r="AD7" s="23" t="s">
        <v>96</v>
      </c>
      <c r="AE7" s="24">
        <v>42277</v>
      </c>
      <c r="AF7" s="23" t="s">
        <v>92</v>
      </c>
      <c r="AG7" s="23">
        <f t="shared" si="3"/>
        <v>0</v>
      </c>
      <c r="AH7" s="23"/>
      <c r="AI7" s="27" t="str">
        <f t="shared" si="4"/>
        <v>P20</v>
      </c>
      <c r="AJ7" s="23"/>
      <c r="AK7" s="23"/>
      <c r="AL7" s="26" t="s">
        <v>50</v>
      </c>
      <c r="AM7" s="28" t="s">
        <v>58</v>
      </c>
    </row>
    <row r="8" spans="1:44" x14ac:dyDescent="0.3">
      <c r="B8" s="32"/>
      <c r="C8" s="6"/>
      <c r="F8" s="6"/>
      <c r="G8" s="5"/>
      <c r="H8" s="5"/>
      <c r="N8" s="23"/>
      <c r="O8" s="25"/>
      <c r="P8" s="23"/>
      <c r="Q8" s="23"/>
      <c r="R8" s="26" t="s">
        <v>50</v>
      </c>
      <c r="S8" s="23"/>
      <c r="T8" s="26" t="s">
        <v>50</v>
      </c>
      <c r="U8" s="27" t="s">
        <v>95</v>
      </c>
      <c r="V8" s="40">
        <f t="shared" si="0"/>
        <v>0</v>
      </c>
      <c r="W8" s="40">
        <f t="shared" si="1"/>
        <v>0</v>
      </c>
      <c r="X8" s="23" t="s">
        <v>92</v>
      </c>
      <c r="Y8" s="26" t="s">
        <v>50</v>
      </c>
      <c r="Z8" s="23"/>
      <c r="AA8" s="26" t="s">
        <v>50</v>
      </c>
      <c r="AB8" s="41">
        <f t="shared" si="2"/>
        <v>0</v>
      </c>
      <c r="AC8" s="23">
        <v>1</v>
      </c>
      <c r="AD8" s="23" t="s">
        <v>96</v>
      </c>
      <c r="AE8" s="24">
        <v>42277</v>
      </c>
      <c r="AF8" s="23" t="s">
        <v>92</v>
      </c>
      <c r="AG8" s="23">
        <f t="shared" si="3"/>
        <v>0</v>
      </c>
      <c r="AH8" s="23"/>
      <c r="AI8" s="27" t="str">
        <f t="shared" si="4"/>
        <v>P20</v>
      </c>
      <c r="AJ8" s="23"/>
      <c r="AK8" s="23"/>
      <c r="AL8" s="26" t="s">
        <v>50</v>
      </c>
      <c r="AM8" s="28" t="s">
        <v>58</v>
      </c>
    </row>
    <row r="9" spans="1:44" x14ac:dyDescent="0.3">
      <c r="B9" s="32"/>
      <c r="C9" s="6"/>
      <c r="F9" s="6"/>
      <c r="G9" s="5"/>
      <c r="H9" s="5"/>
      <c r="N9" s="23"/>
      <c r="O9" s="25"/>
      <c r="P9" s="23"/>
      <c r="Q9" s="23"/>
      <c r="R9" s="26" t="s">
        <v>50</v>
      </c>
      <c r="S9" s="23"/>
      <c r="T9" s="26" t="s">
        <v>50</v>
      </c>
      <c r="U9" s="27" t="s">
        <v>95</v>
      </c>
      <c r="V9" s="40">
        <f t="shared" si="0"/>
        <v>0</v>
      </c>
      <c r="W9" s="40">
        <f t="shared" si="1"/>
        <v>0</v>
      </c>
      <c r="X9" s="23" t="s">
        <v>92</v>
      </c>
      <c r="Y9" s="26" t="s">
        <v>50</v>
      </c>
      <c r="Z9" s="23"/>
      <c r="AA9" s="26" t="s">
        <v>50</v>
      </c>
      <c r="AB9" s="41">
        <f t="shared" si="2"/>
        <v>0</v>
      </c>
      <c r="AC9" s="23">
        <v>1</v>
      </c>
      <c r="AD9" s="23" t="s">
        <v>96</v>
      </c>
      <c r="AE9" s="24">
        <v>42277</v>
      </c>
      <c r="AF9" s="23" t="s">
        <v>92</v>
      </c>
      <c r="AG9" s="23">
        <f t="shared" si="3"/>
        <v>0</v>
      </c>
      <c r="AH9" s="23"/>
      <c r="AI9" s="27" t="str">
        <f t="shared" si="4"/>
        <v>P20</v>
      </c>
      <c r="AJ9" s="23"/>
      <c r="AK9" s="23"/>
      <c r="AL9" s="26" t="s">
        <v>50</v>
      </c>
      <c r="AM9" s="28" t="s">
        <v>58</v>
      </c>
    </row>
    <row r="10" spans="1:44" x14ac:dyDescent="0.3">
      <c r="B10" s="32"/>
      <c r="C10" s="6"/>
      <c r="F10" s="6"/>
      <c r="G10" s="5"/>
      <c r="H10" s="5"/>
      <c r="N10" s="23"/>
      <c r="O10" s="25"/>
      <c r="P10" s="23"/>
      <c r="Q10" s="23"/>
      <c r="R10" s="26" t="s">
        <v>50</v>
      </c>
      <c r="S10" s="23"/>
      <c r="T10" s="26" t="s">
        <v>50</v>
      </c>
      <c r="U10" s="27" t="s">
        <v>95</v>
      </c>
      <c r="V10" s="40">
        <f t="shared" si="0"/>
        <v>0</v>
      </c>
      <c r="W10" s="40">
        <f t="shared" si="1"/>
        <v>0</v>
      </c>
      <c r="X10" s="23" t="s">
        <v>92</v>
      </c>
      <c r="Y10" s="26" t="s">
        <v>50</v>
      </c>
      <c r="Z10" s="23"/>
      <c r="AA10" s="26" t="s">
        <v>50</v>
      </c>
      <c r="AB10" s="41">
        <f t="shared" si="2"/>
        <v>0</v>
      </c>
      <c r="AC10" s="23">
        <v>1</v>
      </c>
      <c r="AD10" s="23" t="s">
        <v>98</v>
      </c>
      <c r="AE10" s="24">
        <v>42277</v>
      </c>
      <c r="AF10" s="23" t="s">
        <v>92</v>
      </c>
      <c r="AG10" s="23">
        <f t="shared" si="3"/>
        <v>0</v>
      </c>
      <c r="AH10" s="23"/>
      <c r="AI10" s="27" t="str">
        <f t="shared" si="4"/>
        <v>P20</v>
      </c>
      <c r="AJ10" s="23"/>
      <c r="AK10" s="23"/>
      <c r="AL10" s="26" t="s">
        <v>50</v>
      </c>
      <c r="AM10" s="28" t="s">
        <v>58</v>
      </c>
    </row>
    <row r="11" spans="1:44" x14ac:dyDescent="0.3">
      <c r="B11" s="32"/>
      <c r="C11" s="6"/>
      <c r="F11" s="6"/>
      <c r="G11" s="5"/>
      <c r="H11" s="5"/>
      <c r="N11" s="23"/>
      <c r="O11" s="25"/>
      <c r="P11" s="23"/>
      <c r="Q11" s="23"/>
      <c r="R11" s="26" t="s">
        <v>50</v>
      </c>
      <c r="S11" s="23"/>
      <c r="T11" s="26" t="s">
        <v>50</v>
      </c>
      <c r="U11" s="27" t="s">
        <v>95</v>
      </c>
      <c r="V11" s="40">
        <f t="shared" si="0"/>
        <v>0</v>
      </c>
      <c r="W11" s="40">
        <f t="shared" si="1"/>
        <v>0</v>
      </c>
      <c r="X11" s="23" t="s">
        <v>92</v>
      </c>
      <c r="Y11" s="26" t="s">
        <v>50</v>
      </c>
      <c r="Z11" s="23"/>
      <c r="AA11" s="26" t="s">
        <v>50</v>
      </c>
      <c r="AB11" s="41">
        <f t="shared" si="2"/>
        <v>0</v>
      </c>
      <c r="AC11" s="23">
        <v>1</v>
      </c>
      <c r="AD11" s="23" t="s">
        <v>99</v>
      </c>
      <c r="AE11" s="24">
        <v>42277</v>
      </c>
      <c r="AF11" s="23" t="s">
        <v>92</v>
      </c>
      <c r="AG11" s="23">
        <f t="shared" si="3"/>
        <v>0</v>
      </c>
      <c r="AH11" s="23"/>
      <c r="AI11" s="27" t="str">
        <f t="shared" si="4"/>
        <v>P20</v>
      </c>
      <c r="AJ11" s="23"/>
      <c r="AK11" s="23"/>
      <c r="AL11" s="26" t="s">
        <v>50</v>
      </c>
      <c r="AM11" s="28" t="s">
        <v>58</v>
      </c>
    </row>
    <row r="12" spans="1:44" x14ac:dyDescent="0.3">
      <c r="B12" s="32"/>
      <c r="C12" s="6"/>
      <c r="F12" s="6"/>
      <c r="G12" s="5"/>
      <c r="H12" s="5"/>
      <c r="N12" s="23"/>
      <c r="O12" s="25"/>
      <c r="P12" s="23"/>
      <c r="Q12" s="23"/>
      <c r="R12" s="26" t="s">
        <v>50</v>
      </c>
      <c r="S12" s="23"/>
      <c r="T12" s="26" t="s">
        <v>50</v>
      </c>
      <c r="U12" s="27" t="s">
        <v>95</v>
      </c>
      <c r="V12" s="40">
        <f t="shared" si="0"/>
        <v>0</v>
      </c>
      <c r="W12" s="40">
        <f t="shared" si="1"/>
        <v>0</v>
      </c>
      <c r="X12" s="23" t="s">
        <v>92</v>
      </c>
      <c r="Y12" s="26" t="s">
        <v>50</v>
      </c>
      <c r="Z12" s="23"/>
      <c r="AA12" s="26" t="s">
        <v>50</v>
      </c>
      <c r="AB12" s="41">
        <f t="shared" si="2"/>
        <v>0</v>
      </c>
      <c r="AC12" s="23">
        <v>1</v>
      </c>
      <c r="AD12" s="23" t="s">
        <v>99</v>
      </c>
      <c r="AE12" s="24">
        <v>42277</v>
      </c>
      <c r="AF12" s="23" t="s">
        <v>92</v>
      </c>
      <c r="AG12" s="23">
        <f t="shared" si="3"/>
        <v>0</v>
      </c>
      <c r="AH12" s="23"/>
      <c r="AI12" s="27" t="str">
        <f t="shared" si="4"/>
        <v>P20</v>
      </c>
      <c r="AJ12" s="23"/>
      <c r="AK12" s="23"/>
      <c r="AL12" s="26" t="s">
        <v>50</v>
      </c>
      <c r="AM12" s="28" t="s">
        <v>58</v>
      </c>
    </row>
    <row r="13" spans="1:44" x14ac:dyDescent="0.3">
      <c r="B13" s="32"/>
      <c r="C13" s="6"/>
      <c r="F13" s="6"/>
      <c r="G13" s="5"/>
      <c r="H13" s="5"/>
      <c r="N13" s="23"/>
      <c r="O13" s="25"/>
      <c r="P13" s="23"/>
      <c r="Q13" s="23"/>
      <c r="R13" s="26" t="s">
        <v>50</v>
      </c>
      <c r="S13" s="23"/>
      <c r="T13" s="26" t="s">
        <v>50</v>
      </c>
      <c r="U13" s="27" t="s">
        <v>95</v>
      </c>
      <c r="V13" s="40">
        <f t="shared" si="0"/>
        <v>0</v>
      </c>
      <c r="W13" s="40">
        <f t="shared" si="1"/>
        <v>0</v>
      </c>
      <c r="X13" s="23" t="s">
        <v>92</v>
      </c>
      <c r="Y13" s="26" t="s">
        <v>50</v>
      </c>
      <c r="Z13" s="23"/>
      <c r="AA13" s="26" t="s">
        <v>50</v>
      </c>
      <c r="AB13" s="41">
        <f t="shared" si="2"/>
        <v>0</v>
      </c>
      <c r="AC13" s="23">
        <v>1</v>
      </c>
      <c r="AD13" s="23" t="s">
        <v>99</v>
      </c>
      <c r="AE13" s="24">
        <v>42277</v>
      </c>
      <c r="AF13" s="23" t="s">
        <v>92</v>
      </c>
      <c r="AG13" s="23">
        <f t="shared" si="3"/>
        <v>0</v>
      </c>
      <c r="AH13" s="23"/>
      <c r="AI13" s="27" t="str">
        <f t="shared" si="4"/>
        <v>P20</v>
      </c>
      <c r="AJ13" s="23"/>
      <c r="AK13" s="23"/>
      <c r="AL13" s="26" t="s">
        <v>50</v>
      </c>
      <c r="AM13" s="28" t="s">
        <v>58</v>
      </c>
    </row>
    <row r="14" spans="1:44" x14ac:dyDescent="0.3">
      <c r="B14" s="32"/>
      <c r="C14" s="6"/>
      <c r="F14" s="6"/>
      <c r="G14" s="5"/>
      <c r="H14" s="5"/>
      <c r="N14" s="23"/>
      <c r="O14" s="25"/>
      <c r="P14" s="23"/>
      <c r="Q14" s="23"/>
      <c r="R14" s="26" t="s">
        <v>50</v>
      </c>
      <c r="S14" s="23"/>
      <c r="T14" s="26" t="s">
        <v>50</v>
      </c>
      <c r="U14" s="27" t="s">
        <v>95</v>
      </c>
      <c r="V14" s="40">
        <f t="shared" si="0"/>
        <v>0</v>
      </c>
      <c r="W14" s="40">
        <f t="shared" si="1"/>
        <v>0</v>
      </c>
      <c r="X14" s="23" t="s">
        <v>92</v>
      </c>
      <c r="Y14" s="26" t="s">
        <v>50</v>
      </c>
      <c r="Z14" s="23"/>
      <c r="AA14" s="26" t="s">
        <v>50</v>
      </c>
      <c r="AB14" s="41">
        <f t="shared" si="2"/>
        <v>0</v>
      </c>
      <c r="AC14" s="23">
        <v>1</v>
      </c>
      <c r="AD14" s="23" t="s">
        <v>99</v>
      </c>
      <c r="AE14" s="24">
        <v>42277</v>
      </c>
      <c r="AF14" s="23" t="s">
        <v>92</v>
      </c>
      <c r="AG14" s="23">
        <f t="shared" si="3"/>
        <v>0</v>
      </c>
      <c r="AH14" s="23"/>
      <c r="AI14" s="27" t="str">
        <f t="shared" si="4"/>
        <v>P20</v>
      </c>
      <c r="AJ14" s="23"/>
      <c r="AK14" s="23"/>
      <c r="AL14" s="26" t="s">
        <v>50</v>
      </c>
      <c r="AM14" s="28" t="s">
        <v>58</v>
      </c>
    </row>
    <row r="15" spans="1:44" x14ac:dyDescent="0.3">
      <c r="B15" s="32"/>
      <c r="C15" s="6"/>
      <c r="F15" s="6"/>
      <c r="G15" s="5"/>
      <c r="H15" s="5"/>
      <c r="N15" s="23"/>
      <c r="O15" s="25"/>
      <c r="P15" s="23"/>
      <c r="Q15" s="23"/>
      <c r="R15" s="26" t="s">
        <v>50</v>
      </c>
      <c r="S15" s="23"/>
      <c r="T15" s="26" t="s">
        <v>50</v>
      </c>
      <c r="U15" s="27" t="s">
        <v>95</v>
      </c>
      <c r="V15" s="40">
        <f t="shared" si="0"/>
        <v>0</v>
      </c>
      <c r="W15" s="40">
        <f t="shared" si="1"/>
        <v>0</v>
      </c>
      <c r="X15" s="23" t="s">
        <v>92</v>
      </c>
      <c r="Y15" s="26" t="s">
        <v>50</v>
      </c>
      <c r="Z15" s="23"/>
      <c r="AA15" s="26" t="s">
        <v>50</v>
      </c>
      <c r="AB15" s="41">
        <f t="shared" si="2"/>
        <v>0</v>
      </c>
      <c r="AC15" s="23">
        <v>1</v>
      </c>
      <c r="AD15" s="23" t="s">
        <v>99</v>
      </c>
      <c r="AE15" s="24">
        <v>42277</v>
      </c>
      <c r="AF15" s="23" t="s">
        <v>92</v>
      </c>
      <c r="AG15" s="23">
        <f t="shared" si="3"/>
        <v>0</v>
      </c>
      <c r="AH15" s="23"/>
      <c r="AI15" s="27" t="str">
        <f t="shared" si="4"/>
        <v>P20</v>
      </c>
      <c r="AJ15" s="23"/>
      <c r="AK15" s="23"/>
      <c r="AL15" s="26" t="s">
        <v>50</v>
      </c>
      <c r="AM15" s="28" t="s">
        <v>58</v>
      </c>
    </row>
    <row r="16" spans="1:44" x14ac:dyDescent="0.3">
      <c r="B16" s="32"/>
      <c r="C16" s="6"/>
      <c r="F16" s="6"/>
      <c r="G16" s="5"/>
      <c r="H16" s="5"/>
      <c r="N16" s="23"/>
      <c r="O16" s="25"/>
      <c r="P16" s="23"/>
      <c r="Q16" s="23"/>
      <c r="R16" s="26" t="s">
        <v>50</v>
      </c>
      <c r="S16" s="23"/>
      <c r="T16" s="26" t="s">
        <v>50</v>
      </c>
      <c r="U16" s="27" t="s">
        <v>95</v>
      </c>
      <c r="V16" s="40">
        <f t="shared" si="0"/>
        <v>0</v>
      </c>
      <c r="W16" s="40">
        <f t="shared" si="1"/>
        <v>0</v>
      </c>
      <c r="X16" s="23" t="s">
        <v>92</v>
      </c>
      <c r="Y16" s="26" t="s">
        <v>50</v>
      </c>
      <c r="Z16" s="23"/>
      <c r="AA16" s="26" t="s">
        <v>50</v>
      </c>
      <c r="AB16" s="41">
        <f t="shared" si="2"/>
        <v>0</v>
      </c>
      <c r="AC16" s="23">
        <v>1</v>
      </c>
      <c r="AD16" s="23" t="s">
        <v>97</v>
      </c>
      <c r="AE16" s="24">
        <v>42277</v>
      </c>
      <c r="AF16" s="23" t="s">
        <v>92</v>
      </c>
      <c r="AG16" s="23">
        <f t="shared" si="3"/>
        <v>0</v>
      </c>
      <c r="AH16" s="23"/>
      <c r="AI16" s="27" t="str">
        <f t="shared" si="4"/>
        <v>P20</v>
      </c>
      <c r="AJ16" s="23"/>
      <c r="AK16" s="23"/>
      <c r="AL16" s="26" t="s">
        <v>50</v>
      </c>
      <c r="AM16" s="28" t="s">
        <v>58</v>
      </c>
    </row>
    <row r="17" spans="2:39" x14ac:dyDescent="0.3">
      <c r="B17" s="32"/>
      <c r="C17" s="6"/>
      <c r="F17" s="6"/>
      <c r="G17" s="5"/>
      <c r="H17" s="5"/>
      <c r="N17" s="23"/>
      <c r="O17" s="25"/>
      <c r="P17" s="23"/>
      <c r="Q17" s="23"/>
      <c r="R17" s="26" t="s">
        <v>50</v>
      </c>
      <c r="S17" s="23"/>
      <c r="T17" s="26" t="s">
        <v>50</v>
      </c>
      <c r="U17" s="27" t="s">
        <v>95</v>
      </c>
      <c r="V17" s="40">
        <f t="shared" si="0"/>
        <v>0</v>
      </c>
      <c r="W17" s="40">
        <f t="shared" si="1"/>
        <v>0</v>
      </c>
      <c r="X17" s="23" t="s">
        <v>92</v>
      </c>
      <c r="Y17" s="26" t="s">
        <v>50</v>
      </c>
      <c r="Z17" s="23"/>
      <c r="AA17" s="26" t="s">
        <v>50</v>
      </c>
      <c r="AB17" s="41">
        <f t="shared" si="2"/>
        <v>0</v>
      </c>
      <c r="AC17" s="23">
        <v>1</v>
      </c>
      <c r="AD17" s="23" t="s">
        <v>97</v>
      </c>
      <c r="AE17" s="24">
        <v>42277</v>
      </c>
      <c r="AF17" s="23" t="s">
        <v>92</v>
      </c>
      <c r="AG17" s="23">
        <f t="shared" si="3"/>
        <v>0</v>
      </c>
      <c r="AH17" s="23"/>
      <c r="AI17" s="27" t="str">
        <f t="shared" si="4"/>
        <v>P20</v>
      </c>
      <c r="AJ17" s="23"/>
      <c r="AK17" s="23"/>
      <c r="AL17" s="26" t="s">
        <v>50</v>
      </c>
      <c r="AM17" s="28" t="s">
        <v>58</v>
      </c>
    </row>
    <row r="18" spans="2:39" x14ac:dyDescent="0.3">
      <c r="B18" s="32"/>
      <c r="C18" s="6"/>
      <c r="F18" s="6"/>
      <c r="G18" s="5"/>
      <c r="H18" s="5"/>
      <c r="N18" s="23"/>
      <c r="O18" s="25"/>
      <c r="P18" s="23"/>
      <c r="Q18" s="23"/>
      <c r="R18" s="26" t="s">
        <v>50</v>
      </c>
      <c r="S18" s="23"/>
      <c r="T18" s="26" t="s">
        <v>50</v>
      </c>
      <c r="U18" s="27" t="s">
        <v>95</v>
      </c>
      <c r="V18" s="40">
        <f t="shared" si="0"/>
        <v>0</v>
      </c>
      <c r="W18" s="40">
        <f t="shared" si="1"/>
        <v>0</v>
      </c>
      <c r="X18" s="23" t="s">
        <v>92</v>
      </c>
      <c r="Y18" s="26" t="s">
        <v>50</v>
      </c>
      <c r="Z18" s="23"/>
      <c r="AA18" s="26" t="s">
        <v>50</v>
      </c>
      <c r="AB18" s="41">
        <f t="shared" si="2"/>
        <v>0</v>
      </c>
      <c r="AC18" s="23">
        <v>1</v>
      </c>
      <c r="AD18" s="23" t="s">
        <v>97</v>
      </c>
      <c r="AE18" s="24">
        <v>42277</v>
      </c>
      <c r="AF18" s="23" t="s">
        <v>92</v>
      </c>
      <c r="AG18" s="23">
        <f t="shared" si="3"/>
        <v>0</v>
      </c>
      <c r="AH18" s="23"/>
      <c r="AI18" s="27" t="str">
        <f t="shared" si="4"/>
        <v>P20</v>
      </c>
      <c r="AJ18" s="23"/>
      <c r="AK18" s="23"/>
      <c r="AL18" s="26" t="s">
        <v>50</v>
      </c>
      <c r="AM18" s="28" t="s">
        <v>58</v>
      </c>
    </row>
    <row r="19" spans="2:39" x14ac:dyDescent="0.3">
      <c r="B19" s="32"/>
      <c r="C19" s="6"/>
      <c r="F19" s="6"/>
      <c r="G19" s="5"/>
      <c r="H19" s="5"/>
      <c r="N19" s="23"/>
      <c r="O19" s="25"/>
      <c r="P19" s="23"/>
      <c r="Q19" s="23"/>
      <c r="R19" s="26" t="s">
        <v>50</v>
      </c>
      <c r="S19" s="23"/>
      <c r="T19" s="26" t="s">
        <v>50</v>
      </c>
      <c r="U19" s="27" t="s">
        <v>95</v>
      </c>
      <c r="V19" s="40">
        <f t="shared" si="0"/>
        <v>0</v>
      </c>
      <c r="W19" s="40">
        <f t="shared" si="1"/>
        <v>0</v>
      </c>
      <c r="X19" s="23" t="s">
        <v>92</v>
      </c>
      <c r="Y19" s="26" t="s">
        <v>50</v>
      </c>
      <c r="Z19" s="23"/>
      <c r="AA19" s="26" t="s">
        <v>50</v>
      </c>
      <c r="AB19" s="41">
        <f t="shared" si="2"/>
        <v>0</v>
      </c>
      <c r="AC19" s="23">
        <v>1</v>
      </c>
      <c r="AD19" s="23" t="s">
        <v>97</v>
      </c>
      <c r="AE19" s="24">
        <v>42277</v>
      </c>
      <c r="AF19" s="23" t="s">
        <v>92</v>
      </c>
      <c r="AG19" s="23">
        <f t="shared" si="3"/>
        <v>0</v>
      </c>
      <c r="AH19" s="23"/>
      <c r="AI19" s="27" t="str">
        <f t="shared" si="4"/>
        <v>P20</v>
      </c>
      <c r="AJ19" s="23"/>
      <c r="AK19" s="23"/>
      <c r="AL19" s="26" t="s">
        <v>50</v>
      </c>
      <c r="AM19" s="28" t="s">
        <v>58</v>
      </c>
    </row>
    <row r="20" spans="2:39" x14ac:dyDescent="0.3">
      <c r="B20" s="32"/>
      <c r="C20" s="6"/>
      <c r="F20" s="6"/>
      <c r="G20" s="5"/>
      <c r="H20" s="5"/>
      <c r="N20" s="23"/>
      <c r="O20" s="25"/>
      <c r="P20" s="23"/>
      <c r="Q20" s="23"/>
      <c r="R20" s="26" t="s">
        <v>50</v>
      </c>
      <c r="S20" s="23"/>
      <c r="T20" s="26" t="s">
        <v>50</v>
      </c>
      <c r="U20" s="27" t="s">
        <v>95</v>
      </c>
      <c r="V20" s="40">
        <f t="shared" si="0"/>
        <v>0</v>
      </c>
      <c r="W20" s="40">
        <f t="shared" si="1"/>
        <v>0</v>
      </c>
      <c r="X20" s="23" t="s">
        <v>92</v>
      </c>
      <c r="Y20" s="26" t="s">
        <v>50</v>
      </c>
      <c r="Z20" s="23"/>
      <c r="AA20" s="26" t="s">
        <v>50</v>
      </c>
      <c r="AB20" s="41">
        <f t="shared" si="2"/>
        <v>0</v>
      </c>
      <c r="AC20" s="23">
        <v>1</v>
      </c>
      <c r="AD20" s="23" t="s">
        <v>97</v>
      </c>
      <c r="AE20" s="24">
        <v>42277</v>
      </c>
      <c r="AF20" s="23" t="s">
        <v>92</v>
      </c>
      <c r="AG20" s="23">
        <f t="shared" si="3"/>
        <v>0</v>
      </c>
      <c r="AH20" s="23"/>
      <c r="AI20" s="27" t="str">
        <f t="shared" si="4"/>
        <v>P20</v>
      </c>
      <c r="AJ20" s="23"/>
      <c r="AK20" s="23"/>
      <c r="AL20" s="26" t="s">
        <v>50</v>
      </c>
      <c r="AM20" s="28" t="s">
        <v>58</v>
      </c>
    </row>
    <row r="21" spans="2:39" x14ac:dyDescent="0.3">
      <c r="B21" s="32"/>
      <c r="C21" s="6"/>
      <c r="F21" s="6"/>
      <c r="G21" s="5"/>
      <c r="H21" s="5"/>
      <c r="N21" s="23"/>
      <c r="O21" s="25"/>
      <c r="P21" s="23"/>
      <c r="Q21" s="23"/>
      <c r="R21" s="26" t="s">
        <v>50</v>
      </c>
      <c r="S21" s="23"/>
      <c r="T21" s="26" t="s">
        <v>50</v>
      </c>
      <c r="U21" s="27" t="s">
        <v>95</v>
      </c>
      <c r="V21" s="40">
        <f t="shared" si="0"/>
        <v>0</v>
      </c>
      <c r="W21" s="40">
        <f t="shared" si="1"/>
        <v>0</v>
      </c>
      <c r="X21" s="23" t="s">
        <v>92</v>
      </c>
      <c r="Y21" s="26" t="s">
        <v>50</v>
      </c>
      <c r="Z21" s="23"/>
      <c r="AA21" s="26" t="s">
        <v>50</v>
      </c>
      <c r="AB21" s="41">
        <f t="shared" si="2"/>
        <v>0</v>
      </c>
      <c r="AC21" s="23">
        <v>1</v>
      </c>
      <c r="AD21" s="23" t="s">
        <v>97</v>
      </c>
      <c r="AE21" s="24">
        <v>42277</v>
      </c>
      <c r="AF21" s="23" t="s">
        <v>92</v>
      </c>
      <c r="AG21" s="23">
        <f t="shared" si="3"/>
        <v>0</v>
      </c>
      <c r="AH21" s="23"/>
      <c r="AI21" s="27" t="str">
        <f t="shared" si="4"/>
        <v>P20</v>
      </c>
      <c r="AJ21" s="23"/>
      <c r="AK21" s="23"/>
      <c r="AL21" s="26" t="s">
        <v>50</v>
      </c>
      <c r="AM21" s="28" t="s">
        <v>58</v>
      </c>
    </row>
    <row r="22" spans="2:39" x14ac:dyDescent="0.3">
      <c r="B22" s="32"/>
      <c r="C22" s="6"/>
      <c r="F22" s="6"/>
      <c r="G22" s="5"/>
      <c r="H22" s="5"/>
      <c r="N22" s="23"/>
      <c r="O22" s="25"/>
      <c r="P22" s="23"/>
      <c r="Q22" s="23"/>
      <c r="R22" s="26" t="s">
        <v>50</v>
      </c>
      <c r="S22" s="23"/>
      <c r="T22" s="26" t="s">
        <v>50</v>
      </c>
      <c r="U22" s="27" t="s">
        <v>95</v>
      </c>
      <c r="V22" s="40">
        <f t="shared" si="0"/>
        <v>0</v>
      </c>
      <c r="W22" s="40">
        <f t="shared" si="1"/>
        <v>0</v>
      </c>
      <c r="X22" s="23" t="s">
        <v>92</v>
      </c>
      <c r="Y22" s="26" t="s">
        <v>50</v>
      </c>
      <c r="Z22" s="23"/>
      <c r="AA22" s="26" t="s">
        <v>50</v>
      </c>
      <c r="AB22" s="41">
        <f t="shared" si="2"/>
        <v>0</v>
      </c>
      <c r="AC22" s="23">
        <v>1</v>
      </c>
      <c r="AD22" s="23" t="s">
        <v>97</v>
      </c>
      <c r="AE22" s="24">
        <v>42277</v>
      </c>
      <c r="AF22" s="23" t="s">
        <v>92</v>
      </c>
      <c r="AG22" s="23">
        <f t="shared" si="3"/>
        <v>0</v>
      </c>
      <c r="AH22" s="23"/>
      <c r="AI22" s="27" t="str">
        <f t="shared" si="4"/>
        <v>P20</v>
      </c>
      <c r="AJ22" s="23"/>
      <c r="AK22" s="23"/>
      <c r="AL22" s="26" t="s">
        <v>50</v>
      </c>
      <c r="AM22" s="28" t="s">
        <v>58</v>
      </c>
    </row>
    <row r="23" spans="2:39" x14ac:dyDescent="0.3">
      <c r="B23" s="32"/>
      <c r="C23" s="6"/>
      <c r="F23" s="6"/>
      <c r="G23" s="5"/>
      <c r="H23" s="5"/>
      <c r="N23" s="23"/>
      <c r="O23" s="25"/>
      <c r="P23" s="23"/>
      <c r="Q23" s="23"/>
      <c r="R23" s="26" t="s">
        <v>50</v>
      </c>
      <c r="S23" s="23"/>
      <c r="T23" s="26" t="s">
        <v>50</v>
      </c>
      <c r="U23" s="27" t="s">
        <v>95</v>
      </c>
      <c r="V23" s="40">
        <f t="shared" si="0"/>
        <v>0</v>
      </c>
      <c r="W23" s="40">
        <f t="shared" si="1"/>
        <v>0</v>
      </c>
      <c r="X23" s="23" t="s">
        <v>92</v>
      </c>
      <c r="Y23" s="26" t="s">
        <v>50</v>
      </c>
      <c r="Z23" s="23"/>
      <c r="AA23" s="26" t="s">
        <v>50</v>
      </c>
      <c r="AB23" s="41">
        <f t="shared" si="2"/>
        <v>0</v>
      </c>
      <c r="AC23" s="23">
        <v>1</v>
      </c>
      <c r="AD23" s="23" t="s">
        <v>97</v>
      </c>
      <c r="AE23" s="24">
        <v>42277</v>
      </c>
      <c r="AF23" s="23" t="s">
        <v>92</v>
      </c>
      <c r="AG23" s="23">
        <f t="shared" si="3"/>
        <v>0</v>
      </c>
      <c r="AH23" s="23"/>
      <c r="AI23" s="27" t="str">
        <f t="shared" si="4"/>
        <v>P20</v>
      </c>
      <c r="AJ23" s="23"/>
      <c r="AK23" s="23"/>
      <c r="AL23" s="26" t="s">
        <v>50</v>
      </c>
      <c r="AM23" s="28" t="s">
        <v>58</v>
      </c>
    </row>
    <row r="24" spans="2:39" x14ac:dyDescent="0.3">
      <c r="B24" s="32"/>
      <c r="C24" s="6"/>
      <c r="F24" s="6"/>
      <c r="G24" s="5"/>
      <c r="H24" s="5"/>
      <c r="N24" s="23"/>
      <c r="O24" s="25"/>
      <c r="P24" s="23"/>
      <c r="Q24" s="23"/>
      <c r="R24" s="26" t="s">
        <v>50</v>
      </c>
      <c r="S24" s="23"/>
      <c r="T24" s="26" t="s">
        <v>50</v>
      </c>
      <c r="U24" s="27" t="s">
        <v>95</v>
      </c>
      <c r="V24" s="40">
        <f t="shared" si="0"/>
        <v>0</v>
      </c>
      <c r="W24" s="40">
        <f t="shared" si="1"/>
        <v>0</v>
      </c>
      <c r="X24" s="23" t="s">
        <v>92</v>
      </c>
      <c r="Y24" s="26" t="s">
        <v>50</v>
      </c>
      <c r="Z24" s="23"/>
      <c r="AA24" s="26" t="s">
        <v>50</v>
      </c>
      <c r="AB24" s="41">
        <f t="shared" si="2"/>
        <v>0</v>
      </c>
      <c r="AC24" s="23">
        <v>1</v>
      </c>
      <c r="AD24" s="23" t="s">
        <v>97</v>
      </c>
      <c r="AE24" s="24">
        <v>42277</v>
      </c>
      <c r="AF24" s="23" t="s">
        <v>92</v>
      </c>
      <c r="AG24" s="23">
        <f t="shared" si="3"/>
        <v>0</v>
      </c>
      <c r="AH24" s="23"/>
      <c r="AI24" s="27" t="str">
        <f t="shared" si="4"/>
        <v>P20</v>
      </c>
      <c r="AJ24" s="23"/>
      <c r="AK24" s="23"/>
      <c r="AL24" s="26" t="s">
        <v>50</v>
      </c>
      <c r="AM24" s="28" t="s">
        <v>58</v>
      </c>
    </row>
    <row r="25" spans="2:39" x14ac:dyDescent="0.3">
      <c r="B25" s="32"/>
      <c r="C25" s="6"/>
      <c r="F25" s="6"/>
      <c r="G25" s="5"/>
      <c r="H25" s="5"/>
      <c r="N25" s="23"/>
      <c r="O25" s="25"/>
      <c r="P25" s="23"/>
      <c r="Q25" s="23"/>
      <c r="R25" s="26" t="s">
        <v>50</v>
      </c>
      <c r="S25" s="23"/>
      <c r="T25" s="26" t="s">
        <v>50</v>
      </c>
      <c r="U25" s="27" t="s">
        <v>95</v>
      </c>
      <c r="V25" s="40">
        <f t="shared" si="0"/>
        <v>0</v>
      </c>
      <c r="W25" s="40">
        <f t="shared" si="1"/>
        <v>0</v>
      </c>
      <c r="X25" s="23" t="s">
        <v>92</v>
      </c>
      <c r="Y25" s="26" t="s">
        <v>50</v>
      </c>
      <c r="Z25" s="23"/>
      <c r="AA25" s="26" t="s">
        <v>50</v>
      </c>
      <c r="AB25" s="41">
        <f t="shared" si="2"/>
        <v>0</v>
      </c>
      <c r="AC25" s="23">
        <v>1</v>
      </c>
      <c r="AD25" s="23" t="s">
        <v>97</v>
      </c>
      <c r="AE25" s="24">
        <v>42277</v>
      </c>
      <c r="AF25" s="23" t="s">
        <v>92</v>
      </c>
      <c r="AG25" s="23">
        <f t="shared" si="3"/>
        <v>0</v>
      </c>
      <c r="AH25" s="23"/>
      <c r="AI25" s="27" t="str">
        <f t="shared" si="4"/>
        <v>P20</v>
      </c>
      <c r="AJ25" s="23"/>
      <c r="AK25" s="23"/>
      <c r="AL25" s="26" t="s">
        <v>50</v>
      </c>
      <c r="AM25" s="28" t="s">
        <v>58</v>
      </c>
    </row>
    <row r="26" spans="2:39" x14ac:dyDescent="0.3">
      <c r="B26" s="32"/>
      <c r="C26" s="6"/>
      <c r="F26" s="6"/>
      <c r="G26" s="5"/>
      <c r="H26" s="5"/>
      <c r="N26" s="23"/>
      <c r="O26" s="25"/>
      <c r="P26" s="23"/>
      <c r="Q26" s="23"/>
      <c r="R26" s="26" t="s">
        <v>50</v>
      </c>
      <c r="S26" s="23"/>
      <c r="T26" s="26" t="s">
        <v>50</v>
      </c>
      <c r="U26" s="27" t="s">
        <v>95</v>
      </c>
      <c r="V26" s="40">
        <f t="shared" si="0"/>
        <v>0</v>
      </c>
      <c r="W26" s="40">
        <f t="shared" si="1"/>
        <v>0</v>
      </c>
      <c r="X26" s="23" t="s">
        <v>92</v>
      </c>
      <c r="Y26" s="26" t="s">
        <v>50</v>
      </c>
      <c r="Z26" s="23"/>
      <c r="AA26" s="26" t="s">
        <v>50</v>
      </c>
      <c r="AB26" s="41">
        <f t="shared" si="2"/>
        <v>0</v>
      </c>
      <c r="AC26" s="23">
        <v>1</v>
      </c>
      <c r="AD26" s="23" t="s">
        <v>97</v>
      </c>
      <c r="AE26" s="24">
        <v>42277</v>
      </c>
      <c r="AF26" s="23" t="s">
        <v>92</v>
      </c>
      <c r="AG26" s="23">
        <f t="shared" si="3"/>
        <v>0</v>
      </c>
      <c r="AH26" s="23"/>
      <c r="AI26" s="27" t="str">
        <f t="shared" si="4"/>
        <v>P20</v>
      </c>
      <c r="AJ26" s="23"/>
      <c r="AK26" s="23"/>
      <c r="AL26" s="26" t="s">
        <v>50</v>
      </c>
      <c r="AM26" s="28" t="s">
        <v>58</v>
      </c>
    </row>
    <row r="27" spans="2:39" x14ac:dyDescent="0.3">
      <c r="B27" s="32"/>
      <c r="C27" s="6"/>
      <c r="F27" s="6"/>
      <c r="G27" s="5"/>
      <c r="H27" s="5"/>
      <c r="N27" s="23"/>
      <c r="O27" s="25"/>
      <c r="P27" s="23"/>
      <c r="Q27" s="23"/>
      <c r="R27" s="26" t="s">
        <v>50</v>
      </c>
      <c r="S27" s="23"/>
      <c r="T27" s="26" t="s">
        <v>50</v>
      </c>
      <c r="U27" s="27" t="s">
        <v>95</v>
      </c>
      <c r="V27" s="40">
        <f t="shared" si="0"/>
        <v>0</v>
      </c>
      <c r="W27" s="40">
        <f t="shared" si="1"/>
        <v>0</v>
      </c>
      <c r="X27" s="23" t="s">
        <v>92</v>
      </c>
      <c r="Y27" s="26" t="s">
        <v>50</v>
      </c>
      <c r="Z27" s="23"/>
      <c r="AA27" s="26" t="s">
        <v>50</v>
      </c>
      <c r="AB27" s="41">
        <f t="shared" si="2"/>
        <v>0</v>
      </c>
      <c r="AC27" s="23">
        <v>1</v>
      </c>
      <c r="AD27" s="23" t="s">
        <v>97</v>
      </c>
      <c r="AE27" s="24">
        <v>42277</v>
      </c>
      <c r="AF27" s="23" t="s">
        <v>92</v>
      </c>
      <c r="AG27" s="23">
        <f t="shared" si="3"/>
        <v>0</v>
      </c>
      <c r="AH27" s="23"/>
      <c r="AI27" s="27" t="str">
        <f t="shared" si="4"/>
        <v>P20</v>
      </c>
      <c r="AJ27" s="23"/>
      <c r="AK27" s="23"/>
      <c r="AL27" s="26" t="s">
        <v>50</v>
      </c>
      <c r="AM27" s="28" t="s">
        <v>58</v>
      </c>
    </row>
    <row r="28" spans="2:39" x14ac:dyDescent="0.3">
      <c r="B28" s="32"/>
      <c r="C28" s="6"/>
      <c r="F28" s="6"/>
      <c r="G28" s="5"/>
      <c r="H28" s="5"/>
      <c r="N28" s="23"/>
      <c r="O28" s="25"/>
      <c r="P28" s="23"/>
      <c r="Q28" s="23"/>
      <c r="R28" s="26" t="s">
        <v>50</v>
      </c>
      <c r="S28" s="23"/>
      <c r="T28" s="26" t="s">
        <v>50</v>
      </c>
      <c r="U28" s="27" t="s">
        <v>95</v>
      </c>
      <c r="V28" s="40">
        <f t="shared" si="0"/>
        <v>0</v>
      </c>
      <c r="W28" s="40">
        <f t="shared" si="1"/>
        <v>0</v>
      </c>
      <c r="X28" s="23" t="s">
        <v>92</v>
      </c>
      <c r="Y28" s="26" t="s">
        <v>50</v>
      </c>
      <c r="Z28" s="23"/>
      <c r="AA28" s="26" t="s">
        <v>50</v>
      </c>
      <c r="AB28" s="41">
        <f t="shared" si="2"/>
        <v>0</v>
      </c>
      <c r="AC28" s="23">
        <v>1</v>
      </c>
      <c r="AD28" s="23" t="s">
        <v>97</v>
      </c>
      <c r="AE28" s="24">
        <v>42277</v>
      </c>
      <c r="AF28" s="23" t="s">
        <v>92</v>
      </c>
      <c r="AG28" s="23">
        <f t="shared" si="3"/>
        <v>0</v>
      </c>
      <c r="AH28" s="23"/>
      <c r="AI28" s="27" t="str">
        <f t="shared" si="4"/>
        <v>P20</v>
      </c>
      <c r="AJ28" s="23"/>
      <c r="AK28" s="23"/>
      <c r="AL28" s="26" t="s">
        <v>50</v>
      </c>
      <c r="AM28" s="28" t="s">
        <v>58</v>
      </c>
    </row>
    <row r="29" spans="2:39" x14ac:dyDescent="0.3">
      <c r="B29" s="42"/>
      <c r="C29" s="6"/>
      <c r="F29" s="6"/>
      <c r="G29" s="5"/>
      <c r="H29" s="5"/>
      <c r="N29" s="23"/>
      <c r="O29" s="25"/>
      <c r="P29" s="23"/>
      <c r="Q29" s="23"/>
      <c r="R29" s="26" t="s">
        <v>50</v>
      </c>
      <c r="S29" s="23"/>
      <c r="T29" s="26" t="s">
        <v>50</v>
      </c>
      <c r="U29" s="27" t="s">
        <v>95</v>
      </c>
      <c r="V29" s="40">
        <f t="shared" si="0"/>
        <v>0</v>
      </c>
      <c r="W29" s="40">
        <f t="shared" si="1"/>
        <v>0</v>
      </c>
      <c r="X29" s="23" t="s">
        <v>92</v>
      </c>
      <c r="Y29" s="26" t="s">
        <v>50</v>
      </c>
      <c r="Z29" s="23"/>
      <c r="AA29" s="26" t="s">
        <v>50</v>
      </c>
      <c r="AB29" s="41">
        <f t="shared" si="2"/>
        <v>0</v>
      </c>
      <c r="AC29" s="23">
        <v>1</v>
      </c>
      <c r="AD29" s="23" t="s">
        <v>97</v>
      </c>
      <c r="AE29" s="24">
        <v>42277</v>
      </c>
      <c r="AF29" s="23" t="s">
        <v>92</v>
      </c>
      <c r="AG29" s="23">
        <f t="shared" si="3"/>
        <v>0</v>
      </c>
      <c r="AH29" s="23"/>
      <c r="AI29" s="27" t="str">
        <f t="shared" si="4"/>
        <v>P20</v>
      </c>
      <c r="AJ29" s="23"/>
      <c r="AK29" s="23"/>
      <c r="AL29" s="26" t="s">
        <v>50</v>
      </c>
      <c r="AM29" s="28" t="s">
        <v>58</v>
      </c>
    </row>
    <row r="30" spans="2:39" x14ac:dyDescent="0.3">
      <c r="B30" s="42"/>
      <c r="C30" s="6"/>
      <c r="F30" s="6"/>
      <c r="G30" s="5"/>
      <c r="H30" s="5"/>
      <c r="N30" s="23"/>
      <c r="O30" s="25"/>
      <c r="P30" s="23"/>
      <c r="Q30" s="23"/>
      <c r="R30" s="26" t="s">
        <v>50</v>
      </c>
      <c r="S30" s="23"/>
      <c r="T30" s="26" t="s">
        <v>50</v>
      </c>
      <c r="U30" s="27" t="s">
        <v>95</v>
      </c>
      <c r="V30" s="40">
        <f t="shared" si="0"/>
        <v>0</v>
      </c>
      <c r="W30" s="40">
        <f t="shared" si="1"/>
        <v>0</v>
      </c>
      <c r="X30" s="23" t="s">
        <v>92</v>
      </c>
      <c r="Y30" s="26" t="s">
        <v>50</v>
      </c>
      <c r="Z30" s="23"/>
      <c r="AA30" s="26" t="s">
        <v>50</v>
      </c>
      <c r="AB30" s="41">
        <f t="shared" si="2"/>
        <v>0</v>
      </c>
      <c r="AC30" s="23">
        <v>1</v>
      </c>
      <c r="AD30" s="23" t="s">
        <v>97</v>
      </c>
      <c r="AE30" s="24">
        <v>42277</v>
      </c>
      <c r="AF30" s="23" t="s">
        <v>92</v>
      </c>
      <c r="AG30" s="23">
        <f t="shared" si="3"/>
        <v>0</v>
      </c>
      <c r="AH30" s="23"/>
      <c r="AI30" s="27" t="str">
        <f t="shared" si="4"/>
        <v>P20</v>
      </c>
      <c r="AJ30" s="23"/>
      <c r="AK30" s="23"/>
      <c r="AL30" s="26" t="s">
        <v>50</v>
      </c>
      <c r="AM30" s="28" t="s">
        <v>58</v>
      </c>
    </row>
    <row r="31" spans="2:39" x14ac:dyDescent="0.3">
      <c r="B31" s="42"/>
      <c r="C31" s="6"/>
      <c r="F31" s="6"/>
      <c r="G31" s="5"/>
      <c r="H31" s="5"/>
      <c r="N31" s="23"/>
      <c r="O31" s="25"/>
      <c r="P31" s="23"/>
      <c r="Q31" s="23"/>
      <c r="R31" s="26" t="s">
        <v>50</v>
      </c>
      <c r="S31" s="23"/>
      <c r="T31" s="26" t="s">
        <v>50</v>
      </c>
      <c r="U31" s="27" t="s">
        <v>95</v>
      </c>
      <c r="V31" s="40">
        <f t="shared" si="0"/>
        <v>0</v>
      </c>
      <c r="W31" s="40">
        <f t="shared" si="1"/>
        <v>0</v>
      </c>
      <c r="X31" s="23" t="s">
        <v>92</v>
      </c>
      <c r="Y31" s="26" t="s">
        <v>50</v>
      </c>
      <c r="Z31" s="23"/>
      <c r="AA31" s="26" t="s">
        <v>50</v>
      </c>
      <c r="AB31" s="41">
        <f t="shared" si="2"/>
        <v>0</v>
      </c>
      <c r="AC31" s="23">
        <v>1</v>
      </c>
      <c r="AD31" s="23" t="s">
        <v>97</v>
      </c>
      <c r="AE31" s="24">
        <v>42277</v>
      </c>
      <c r="AF31" s="23" t="s">
        <v>92</v>
      </c>
      <c r="AG31" s="23">
        <f t="shared" si="3"/>
        <v>0</v>
      </c>
      <c r="AH31" s="23"/>
      <c r="AI31" s="27" t="str">
        <f t="shared" si="4"/>
        <v>P20</v>
      </c>
      <c r="AJ31" s="23"/>
      <c r="AK31" s="23"/>
      <c r="AL31" s="26" t="s">
        <v>50</v>
      </c>
      <c r="AM31" s="28" t="s">
        <v>58</v>
      </c>
    </row>
    <row r="32" spans="2:39" x14ac:dyDescent="0.3">
      <c r="B32" s="32"/>
      <c r="C32" s="6"/>
      <c r="F32" s="6"/>
      <c r="G32" s="5"/>
      <c r="H32" s="5"/>
      <c r="N32" s="23"/>
      <c r="O32" s="25"/>
      <c r="P32" s="23"/>
      <c r="Q32" s="23"/>
      <c r="R32" s="26" t="s">
        <v>50</v>
      </c>
      <c r="S32" s="23"/>
      <c r="T32" s="26" t="s">
        <v>50</v>
      </c>
      <c r="U32" s="27" t="s">
        <v>95</v>
      </c>
      <c r="V32" s="40">
        <f t="shared" si="0"/>
        <v>0</v>
      </c>
      <c r="W32" s="40">
        <f t="shared" si="1"/>
        <v>0</v>
      </c>
      <c r="X32" s="23" t="s">
        <v>92</v>
      </c>
      <c r="Y32" s="26" t="s">
        <v>50</v>
      </c>
      <c r="Z32" s="23"/>
      <c r="AA32" s="26" t="s">
        <v>50</v>
      </c>
      <c r="AB32" s="41">
        <f t="shared" si="2"/>
        <v>0</v>
      </c>
      <c r="AC32" s="23">
        <v>1</v>
      </c>
      <c r="AD32" s="23" t="s">
        <v>97</v>
      </c>
      <c r="AE32" s="24">
        <v>42277</v>
      </c>
      <c r="AF32" s="23" t="s">
        <v>92</v>
      </c>
      <c r="AG32" s="23">
        <f t="shared" si="3"/>
        <v>0</v>
      </c>
      <c r="AH32" s="23"/>
      <c r="AI32" s="27" t="str">
        <f t="shared" si="4"/>
        <v>P20</v>
      </c>
      <c r="AJ32" s="23"/>
      <c r="AK32" s="23"/>
      <c r="AL32" s="26" t="s">
        <v>50</v>
      </c>
      <c r="AM32" s="28" t="s">
        <v>58</v>
      </c>
    </row>
    <row r="33" spans="2:39" x14ac:dyDescent="0.3">
      <c r="B33" s="32"/>
      <c r="C33" s="6"/>
      <c r="F33" s="6"/>
      <c r="G33" s="5"/>
      <c r="H33" s="5"/>
      <c r="N33" s="23"/>
      <c r="O33" s="25"/>
      <c r="P33" s="23"/>
      <c r="Q33" s="23"/>
      <c r="R33" s="26" t="s">
        <v>50</v>
      </c>
      <c r="S33" s="23"/>
      <c r="T33" s="26" t="s">
        <v>50</v>
      </c>
      <c r="U33" s="27" t="s">
        <v>95</v>
      </c>
      <c r="V33" s="40">
        <f t="shared" si="0"/>
        <v>0</v>
      </c>
      <c r="W33" s="40">
        <f t="shared" si="1"/>
        <v>0</v>
      </c>
      <c r="X33" s="23" t="s">
        <v>92</v>
      </c>
      <c r="Y33" s="26" t="s">
        <v>50</v>
      </c>
      <c r="Z33" s="23"/>
      <c r="AA33" s="26" t="s">
        <v>50</v>
      </c>
      <c r="AB33" s="41">
        <f t="shared" si="2"/>
        <v>0</v>
      </c>
      <c r="AC33" s="23">
        <v>1</v>
      </c>
      <c r="AD33" s="23" t="s">
        <v>97</v>
      </c>
      <c r="AE33" s="24">
        <v>42277</v>
      </c>
      <c r="AF33" s="23" t="s">
        <v>92</v>
      </c>
      <c r="AG33" s="23">
        <f t="shared" si="3"/>
        <v>0</v>
      </c>
      <c r="AH33" s="23"/>
      <c r="AI33" s="27" t="str">
        <f t="shared" si="4"/>
        <v>P20</v>
      </c>
      <c r="AJ33" s="23"/>
      <c r="AK33" s="23"/>
      <c r="AL33" s="26" t="s">
        <v>50</v>
      </c>
      <c r="AM33" s="28" t="s">
        <v>58</v>
      </c>
    </row>
    <row r="34" spans="2:39" x14ac:dyDescent="0.3">
      <c r="B34" s="32"/>
      <c r="C34" s="6"/>
      <c r="F34" s="6"/>
      <c r="G34" s="5"/>
      <c r="H34" s="5"/>
      <c r="N34" s="23"/>
      <c r="O34" s="25"/>
      <c r="P34" s="23"/>
      <c r="Q34" s="23"/>
      <c r="R34" s="26" t="s">
        <v>50</v>
      </c>
      <c r="S34" s="23"/>
      <c r="T34" s="26" t="s">
        <v>50</v>
      </c>
      <c r="U34" s="27" t="s">
        <v>95</v>
      </c>
      <c r="V34" s="40">
        <f t="shared" si="0"/>
        <v>0</v>
      </c>
      <c r="W34" s="40">
        <f t="shared" si="1"/>
        <v>0</v>
      </c>
      <c r="X34" s="23" t="s">
        <v>92</v>
      </c>
      <c r="Y34" s="26" t="s">
        <v>50</v>
      </c>
      <c r="Z34" s="23"/>
      <c r="AA34" s="26" t="s">
        <v>50</v>
      </c>
      <c r="AB34" s="41">
        <f t="shared" si="2"/>
        <v>0</v>
      </c>
      <c r="AC34" s="23">
        <v>1</v>
      </c>
      <c r="AD34" s="23" t="s">
        <v>97</v>
      </c>
      <c r="AE34" s="24">
        <v>42277</v>
      </c>
      <c r="AF34" s="23" t="s">
        <v>92</v>
      </c>
      <c r="AG34" s="23">
        <f t="shared" si="3"/>
        <v>0</v>
      </c>
      <c r="AH34" s="23"/>
      <c r="AI34" s="27" t="str">
        <f t="shared" si="4"/>
        <v>P20</v>
      </c>
      <c r="AJ34" s="23"/>
      <c r="AK34" s="23"/>
      <c r="AL34" s="26" t="s">
        <v>50</v>
      </c>
      <c r="AM34" s="28" t="s">
        <v>58</v>
      </c>
    </row>
    <row r="35" spans="2:39" x14ac:dyDescent="0.3">
      <c r="B35" s="32"/>
      <c r="C35" s="6"/>
      <c r="F35" s="6"/>
      <c r="G35" s="5"/>
      <c r="H35" s="5"/>
      <c r="N35" s="23"/>
      <c r="O35" s="25"/>
      <c r="P35" s="23"/>
      <c r="Q35" s="23"/>
      <c r="R35" s="26" t="s">
        <v>50</v>
      </c>
      <c r="S35" s="23"/>
      <c r="T35" s="26" t="s">
        <v>50</v>
      </c>
      <c r="U35" s="27" t="s">
        <v>95</v>
      </c>
      <c r="V35" s="40">
        <f t="shared" si="0"/>
        <v>0</v>
      </c>
      <c r="W35" s="40">
        <f t="shared" si="1"/>
        <v>0</v>
      </c>
      <c r="X35" s="23" t="s">
        <v>92</v>
      </c>
      <c r="Y35" s="26" t="s">
        <v>50</v>
      </c>
      <c r="Z35" s="23"/>
      <c r="AA35" s="26" t="s">
        <v>50</v>
      </c>
      <c r="AB35" s="41">
        <f t="shared" si="2"/>
        <v>0</v>
      </c>
      <c r="AC35" s="23">
        <v>1</v>
      </c>
      <c r="AD35" s="23" t="s">
        <v>97</v>
      </c>
      <c r="AE35" s="24">
        <v>42277</v>
      </c>
      <c r="AF35" s="23" t="s">
        <v>92</v>
      </c>
      <c r="AG35" s="23">
        <f t="shared" si="3"/>
        <v>0</v>
      </c>
      <c r="AH35" s="23"/>
      <c r="AI35" s="27" t="str">
        <f t="shared" si="4"/>
        <v>P20</v>
      </c>
      <c r="AJ35" s="23"/>
      <c r="AK35" s="23"/>
      <c r="AL35" s="26" t="s">
        <v>50</v>
      </c>
      <c r="AM35" s="28" t="s">
        <v>58</v>
      </c>
    </row>
    <row r="36" spans="2:39" x14ac:dyDescent="0.3">
      <c r="B36" s="32"/>
      <c r="C36" s="6"/>
      <c r="F36" s="6"/>
      <c r="G36" s="5"/>
      <c r="H36" s="5"/>
      <c r="N36" s="23"/>
      <c r="O36" s="25"/>
      <c r="P36" s="23"/>
      <c r="Q36" s="23"/>
      <c r="R36" s="26" t="s">
        <v>50</v>
      </c>
      <c r="S36" s="23"/>
      <c r="T36" s="26" t="s">
        <v>50</v>
      </c>
      <c r="U36" s="27" t="s">
        <v>95</v>
      </c>
      <c r="V36" s="40">
        <f t="shared" si="0"/>
        <v>0</v>
      </c>
      <c r="W36" s="40">
        <f t="shared" si="1"/>
        <v>0</v>
      </c>
      <c r="X36" s="23" t="s">
        <v>92</v>
      </c>
      <c r="Y36" s="26" t="s">
        <v>50</v>
      </c>
      <c r="Z36" s="23"/>
      <c r="AA36" s="26" t="s">
        <v>50</v>
      </c>
      <c r="AB36" s="41">
        <f t="shared" si="2"/>
        <v>0</v>
      </c>
      <c r="AC36" s="23">
        <v>1</v>
      </c>
      <c r="AD36" s="23" t="s">
        <v>97</v>
      </c>
      <c r="AE36" s="24">
        <v>42277</v>
      </c>
      <c r="AF36" s="23" t="s">
        <v>92</v>
      </c>
      <c r="AG36" s="23">
        <f t="shared" si="3"/>
        <v>0</v>
      </c>
      <c r="AH36" s="23"/>
      <c r="AI36" s="27" t="str">
        <f t="shared" si="4"/>
        <v>P20</v>
      </c>
      <c r="AJ36" s="23"/>
      <c r="AK36" s="23"/>
      <c r="AL36" s="26" t="s">
        <v>50</v>
      </c>
      <c r="AM36" s="28" t="s">
        <v>58</v>
      </c>
    </row>
    <row r="37" spans="2:39" x14ac:dyDescent="0.3">
      <c r="B37" s="32"/>
      <c r="C37" s="6"/>
      <c r="F37" s="6"/>
      <c r="G37" s="5"/>
      <c r="H37" s="5"/>
      <c r="N37" s="23"/>
      <c r="O37" s="25"/>
      <c r="P37" s="23"/>
      <c r="Q37" s="23"/>
      <c r="R37" s="26" t="s">
        <v>50</v>
      </c>
      <c r="S37" s="23"/>
      <c r="T37" s="26" t="s">
        <v>50</v>
      </c>
      <c r="U37" s="27" t="s">
        <v>95</v>
      </c>
      <c r="V37" s="40">
        <f t="shared" si="0"/>
        <v>0</v>
      </c>
      <c r="W37" s="40">
        <f t="shared" si="1"/>
        <v>0</v>
      </c>
      <c r="X37" s="23" t="s">
        <v>92</v>
      </c>
      <c r="Y37" s="26" t="s">
        <v>50</v>
      </c>
      <c r="Z37" s="23"/>
      <c r="AA37" s="26" t="s">
        <v>50</v>
      </c>
      <c r="AB37" s="41">
        <f t="shared" si="2"/>
        <v>0</v>
      </c>
      <c r="AC37" s="23">
        <v>1</v>
      </c>
      <c r="AD37" s="23" t="s">
        <v>97</v>
      </c>
      <c r="AE37" s="24">
        <v>42277</v>
      </c>
      <c r="AF37" s="23" t="s">
        <v>92</v>
      </c>
      <c r="AG37" s="23">
        <f t="shared" si="3"/>
        <v>0</v>
      </c>
      <c r="AH37" s="23"/>
      <c r="AI37" s="27" t="str">
        <f t="shared" si="4"/>
        <v>P20</v>
      </c>
      <c r="AJ37" s="23"/>
      <c r="AK37" s="23"/>
      <c r="AL37" s="26" t="s">
        <v>50</v>
      </c>
      <c r="AM37" s="28" t="s">
        <v>58</v>
      </c>
    </row>
    <row r="38" spans="2:39" x14ac:dyDescent="0.3">
      <c r="B38" s="32"/>
      <c r="C38" s="6"/>
      <c r="F38" s="6"/>
      <c r="G38" s="5"/>
      <c r="H38" s="5"/>
      <c r="N38" s="23"/>
      <c r="O38" s="25"/>
      <c r="P38" s="23"/>
      <c r="Q38" s="23"/>
      <c r="R38" s="26" t="s">
        <v>50</v>
      </c>
      <c r="S38" s="23"/>
      <c r="T38" s="26" t="s">
        <v>50</v>
      </c>
      <c r="U38" s="27" t="s">
        <v>95</v>
      </c>
      <c r="V38" s="40">
        <f t="shared" si="0"/>
        <v>0</v>
      </c>
      <c r="W38" s="40">
        <f t="shared" si="1"/>
        <v>0</v>
      </c>
      <c r="X38" s="23" t="s">
        <v>92</v>
      </c>
      <c r="Y38" s="26" t="s">
        <v>50</v>
      </c>
      <c r="Z38" s="23"/>
      <c r="AA38" s="26" t="s">
        <v>50</v>
      </c>
      <c r="AB38" s="41">
        <f t="shared" si="2"/>
        <v>0</v>
      </c>
      <c r="AC38" s="23">
        <v>1</v>
      </c>
      <c r="AD38" s="23" t="s">
        <v>97</v>
      </c>
      <c r="AE38" s="24">
        <v>42277</v>
      </c>
      <c r="AF38" s="23" t="s">
        <v>92</v>
      </c>
      <c r="AG38" s="23">
        <f t="shared" si="3"/>
        <v>0</v>
      </c>
      <c r="AH38" s="23"/>
      <c r="AI38" s="27" t="str">
        <f t="shared" si="4"/>
        <v>P20</v>
      </c>
      <c r="AJ38" s="23"/>
      <c r="AK38" s="23"/>
      <c r="AL38" s="26" t="s">
        <v>50</v>
      </c>
      <c r="AM38" s="28" t="s">
        <v>58</v>
      </c>
    </row>
    <row r="39" spans="2:39" x14ac:dyDescent="0.3">
      <c r="B39" s="32"/>
      <c r="C39" s="6"/>
      <c r="F39" s="6"/>
      <c r="G39" s="5"/>
      <c r="H39" s="5"/>
      <c r="N39" s="23"/>
      <c r="O39" s="25"/>
      <c r="P39" s="23"/>
      <c r="Q39" s="23"/>
      <c r="R39" s="26" t="s">
        <v>50</v>
      </c>
      <c r="S39" s="23"/>
      <c r="T39" s="26" t="s">
        <v>50</v>
      </c>
      <c r="U39" s="27" t="s">
        <v>95</v>
      </c>
      <c r="V39" s="40">
        <f t="shared" si="0"/>
        <v>0</v>
      </c>
      <c r="W39" s="40">
        <f t="shared" si="1"/>
        <v>0</v>
      </c>
      <c r="X39" s="23" t="s">
        <v>92</v>
      </c>
      <c r="Y39" s="26" t="s">
        <v>50</v>
      </c>
      <c r="Z39" s="23"/>
      <c r="AA39" s="26" t="s">
        <v>50</v>
      </c>
      <c r="AB39" s="41">
        <f t="shared" si="2"/>
        <v>0</v>
      </c>
      <c r="AC39" s="23">
        <v>1</v>
      </c>
      <c r="AD39" s="23" t="s">
        <v>97</v>
      </c>
      <c r="AE39" s="24">
        <v>42277</v>
      </c>
      <c r="AF39" s="23" t="s">
        <v>92</v>
      </c>
      <c r="AG39" s="23">
        <f t="shared" si="3"/>
        <v>0</v>
      </c>
      <c r="AH39" s="23"/>
      <c r="AI39" s="27" t="str">
        <f t="shared" si="4"/>
        <v>P20</v>
      </c>
      <c r="AJ39" s="23"/>
      <c r="AK39" s="23"/>
      <c r="AL39" s="26" t="s">
        <v>50</v>
      </c>
      <c r="AM39" s="28" t="s">
        <v>58</v>
      </c>
    </row>
    <row r="40" spans="2:39" x14ac:dyDescent="0.3">
      <c r="B40" s="32"/>
      <c r="C40" s="6"/>
      <c r="F40" s="6"/>
      <c r="G40" s="5"/>
      <c r="H40" s="5"/>
      <c r="N40" s="23"/>
      <c r="O40" s="25"/>
      <c r="P40" s="23"/>
      <c r="Q40" s="23"/>
      <c r="R40" s="26" t="s">
        <v>50</v>
      </c>
      <c r="S40" s="23"/>
      <c r="T40" s="26" t="s">
        <v>50</v>
      </c>
      <c r="U40" s="27" t="s">
        <v>95</v>
      </c>
      <c r="V40" s="40">
        <f t="shared" si="0"/>
        <v>0</v>
      </c>
      <c r="W40" s="40">
        <f t="shared" si="1"/>
        <v>0</v>
      </c>
      <c r="X40" s="23" t="s">
        <v>92</v>
      </c>
      <c r="Y40" s="26" t="s">
        <v>50</v>
      </c>
      <c r="Z40" s="23"/>
      <c r="AA40" s="26" t="s">
        <v>50</v>
      </c>
      <c r="AB40" s="41">
        <f t="shared" si="2"/>
        <v>0</v>
      </c>
      <c r="AC40" s="23">
        <v>1</v>
      </c>
      <c r="AD40" s="23" t="s">
        <v>97</v>
      </c>
      <c r="AE40" s="24">
        <v>42277</v>
      </c>
      <c r="AF40" s="23" t="s">
        <v>92</v>
      </c>
      <c r="AG40" s="23">
        <f t="shared" si="3"/>
        <v>0</v>
      </c>
      <c r="AH40" s="23"/>
      <c r="AI40" s="27" t="str">
        <f t="shared" si="4"/>
        <v>P20</v>
      </c>
      <c r="AJ40" s="23"/>
      <c r="AK40" s="23"/>
      <c r="AL40" s="26" t="s">
        <v>50</v>
      </c>
      <c r="AM40" s="28" t="s">
        <v>58</v>
      </c>
    </row>
    <row r="41" spans="2:39" x14ac:dyDescent="0.3">
      <c r="B41" s="32"/>
      <c r="C41" s="6"/>
      <c r="F41" s="6"/>
      <c r="G41" s="5"/>
      <c r="H41" s="5"/>
      <c r="N41" s="23"/>
      <c r="O41" s="25"/>
      <c r="P41" s="23"/>
      <c r="Q41" s="23"/>
      <c r="R41" s="26" t="s">
        <v>50</v>
      </c>
      <c r="S41" s="23"/>
      <c r="T41" s="26" t="s">
        <v>50</v>
      </c>
      <c r="U41" s="27" t="s">
        <v>95</v>
      </c>
      <c r="V41" s="40">
        <f t="shared" si="0"/>
        <v>0</v>
      </c>
      <c r="W41" s="40">
        <f t="shared" si="1"/>
        <v>0</v>
      </c>
      <c r="X41" s="23" t="s">
        <v>92</v>
      </c>
      <c r="Y41" s="26" t="s">
        <v>50</v>
      </c>
      <c r="Z41" s="23"/>
      <c r="AA41" s="26" t="s">
        <v>50</v>
      </c>
      <c r="AB41" s="41">
        <f t="shared" si="2"/>
        <v>0</v>
      </c>
      <c r="AC41" s="23">
        <v>1</v>
      </c>
      <c r="AD41" s="23" t="s">
        <v>97</v>
      </c>
      <c r="AE41" s="24">
        <v>42277</v>
      </c>
      <c r="AF41" s="23" t="s">
        <v>92</v>
      </c>
      <c r="AG41" s="23">
        <f t="shared" si="3"/>
        <v>0</v>
      </c>
      <c r="AH41" s="23"/>
      <c r="AI41" s="27" t="str">
        <f t="shared" si="4"/>
        <v>P20</v>
      </c>
      <c r="AJ41" s="23"/>
      <c r="AK41" s="23"/>
      <c r="AL41" s="26" t="s">
        <v>50</v>
      </c>
      <c r="AM41" s="28" t="s">
        <v>58</v>
      </c>
    </row>
    <row r="42" spans="2:39" x14ac:dyDescent="0.3">
      <c r="B42" s="32"/>
      <c r="C42" s="6"/>
      <c r="F42" s="6"/>
      <c r="G42" s="5"/>
      <c r="H42" s="5"/>
      <c r="N42" s="23"/>
      <c r="O42" s="25"/>
      <c r="P42" s="23"/>
      <c r="Q42" s="23"/>
      <c r="R42" s="26" t="s">
        <v>50</v>
      </c>
      <c r="S42" s="23"/>
      <c r="T42" s="26" t="s">
        <v>50</v>
      </c>
      <c r="U42" s="27" t="s">
        <v>95</v>
      </c>
      <c r="V42" s="40">
        <f t="shared" si="0"/>
        <v>0</v>
      </c>
      <c r="W42" s="40">
        <f t="shared" si="1"/>
        <v>0</v>
      </c>
      <c r="X42" s="23" t="s">
        <v>92</v>
      </c>
      <c r="Y42" s="26" t="s">
        <v>50</v>
      </c>
      <c r="Z42" s="23"/>
      <c r="AA42" s="26" t="s">
        <v>50</v>
      </c>
      <c r="AB42" s="41">
        <f t="shared" si="2"/>
        <v>0</v>
      </c>
      <c r="AC42" s="23">
        <v>1</v>
      </c>
      <c r="AD42" s="23" t="s">
        <v>97</v>
      </c>
      <c r="AE42" s="24">
        <v>42277</v>
      </c>
      <c r="AF42" s="23" t="s">
        <v>92</v>
      </c>
      <c r="AG42" s="23">
        <f t="shared" si="3"/>
        <v>0</v>
      </c>
      <c r="AH42" s="23"/>
      <c r="AI42" s="27" t="str">
        <f t="shared" si="4"/>
        <v>P20</v>
      </c>
      <c r="AJ42" s="23"/>
      <c r="AK42" s="23"/>
      <c r="AL42" s="26" t="s">
        <v>50</v>
      </c>
      <c r="AM42" s="28" t="s">
        <v>58</v>
      </c>
    </row>
    <row r="43" spans="2:39" x14ac:dyDescent="0.3">
      <c r="B43" s="32"/>
      <c r="C43" s="6"/>
      <c r="F43" s="6"/>
      <c r="G43" s="5"/>
      <c r="H43" s="5"/>
      <c r="N43" s="23"/>
      <c r="O43" s="25"/>
      <c r="P43" s="23"/>
      <c r="Q43" s="23"/>
      <c r="R43" s="26" t="s">
        <v>50</v>
      </c>
      <c r="S43" s="23"/>
      <c r="T43" s="26" t="s">
        <v>50</v>
      </c>
      <c r="U43" s="27" t="s">
        <v>95</v>
      </c>
      <c r="V43" s="40">
        <f t="shared" si="0"/>
        <v>0</v>
      </c>
      <c r="W43" s="40">
        <f t="shared" si="1"/>
        <v>0</v>
      </c>
      <c r="X43" s="23" t="s">
        <v>92</v>
      </c>
      <c r="Y43" s="26" t="s">
        <v>50</v>
      </c>
      <c r="Z43" s="23"/>
      <c r="AA43" s="26" t="s">
        <v>50</v>
      </c>
      <c r="AB43" s="41">
        <f t="shared" si="2"/>
        <v>0</v>
      </c>
      <c r="AC43" s="23">
        <v>1</v>
      </c>
      <c r="AD43" s="23" t="s">
        <v>97</v>
      </c>
      <c r="AE43" s="24">
        <v>42277</v>
      </c>
      <c r="AF43" s="23" t="s">
        <v>92</v>
      </c>
      <c r="AG43" s="23">
        <f t="shared" si="3"/>
        <v>0</v>
      </c>
      <c r="AH43" s="23"/>
      <c r="AI43" s="27" t="str">
        <f t="shared" si="4"/>
        <v>P20</v>
      </c>
      <c r="AJ43" s="23"/>
      <c r="AK43" s="23"/>
      <c r="AL43" s="26" t="s">
        <v>50</v>
      </c>
      <c r="AM43" s="28" t="s">
        <v>58</v>
      </c>
    </row>
    <row r="44" spans="2:39" x14ac:dyDescent="0.3">
      <c r="B44" s="32"/>
      <c r="C44" s="6"/>
      <c r="F44" s="6"/>
      <c r="G44" s="5"/>
      <c r="H44" s="5"/>
      <c r="N44" s="23"/>
      <c r="O44" s="25"/>
      <c r="P44" s="23"/>
      <c r="Q44" s="23"/>
      <c r="R44" s="26" t="s">
        <v>50</v>
      </c>
      <c r="S44" s="23"/>
      <c r="T44" s="26" t="s">
        <v>50</v>
      </c>
      <c r="U44" s="27" t="s">
        <v>95</v>
      </c>
      <c r="V44" s="40">
        <f t="shared" si="0"/>
        <v>0</v>
      </c>
      <c r="W44" s="40">
        <f t="shared" si="1"/>
        <v>0</v>
      </c>
      <c r="X44" s="23" t="s">
        <v>92</v>
      </c>
      <c r="Y44" s="26" t="s">
        <v>50</v>
      </c>
      <c r="Z44" s="23"/>
      <c r="AA44" s="26" t="s">
        <v>50</v>
      </c>
      <c r="AB44" s="41">
        <f t="shared" si="2"/>
        <v>0</v>
      </c>
      <c r="AC44" s="23">
        <v>1</v>
      </c>
      <c r="AD44" s="23" t="s">
        <v>97</v>
      </c>
      <c r="AE44" s="24">
        <v>42277</v>
      </c>
      <c r="AF44" s="23" t="s">
        <v>92</v>
      </c>
      <c r="AG44" s="23">
        <f t="shared" si="3"/>
        <v>0</v>
      </c>
      <c r="AH44" s="23"/>
      <c r="AI44" s="27" t="str">
        <f t="shared" si="4"/>
        <v>P20</v>
      </c>
      <c r="AJ44" s="23"/>
      <c r="AK44" s="23"/>
      <c r="AL44" s="26" t="s">
        <v>50</v>
      </c>
      <c r="AM44" s="28" t="s">
        <v>58</v>
      </c>
    </row>
    <row r="45" spans="2:39" x14ac:dyDescent="0.3">
      <c r="B45" s="32"/>
      <c r="C45" s="6"/>
      <c r="F45" s="6"/>
      <c r="G45" s="5"/>
      <c r="H45" s="5"/>
      <c r="N45" s="23"/>
      <c r="O45" s="25"/>
      <c r="P45" s="23"/>
      <c r="Q45" s="23"/>
      <c r="R45" s="26" t="s">
        <v>50</v>
      </c>
      <c r="S45" s="23"/>
      <c r="T45" s="26" t="s">
        <v>50</v>
      </c>
      <c r="U45" s="27" t="s">
        <v>95</v>
      </c>
      <c r="V45" s="40">
        <f t="shared" si="0"/>
        <v>0</v>
      </c>
      <c r="W45" s="40">
        <f t="shared" si="1"/>
        <v>0</v>
      </c>
      <c r="X45" s="23" t="s">
        <v>92</v>
      </c>
      <c r="Y45" s="26" t="s">
        <v>50</v>
      </c>
      <c r="Z45" s="23"/>
      <c r="AA45" s="26" t="s">
        <v>50</v>
      </c>
      <c r="AB45" s="41">
        <f t="shared" si="2"/>
        <v>0</v>
      </c>
      <c r="AC45" s="23">
        <v>1</v>
      </c>
      <c r="AD45" s="23" t="s">
        <v>97</v>
      </c>
      <c r="AE45" s="24">
        <v>42277</v>
      </c>
      <c r="AF45" s="23" t="s">
        <v>92</v>
      </c>
      <c r="AG45" s="23">
        <f t="shared" si="3"/>
        <v>0</v>
      </c>
      <c r="AH45" s="23"/>
      <c r="AI45" s="27" t="str">
        <f t="shared" si="4"/>
        <v>P20</v>
      </c>
      <c r="AJ45" s="23"/>
      <c r="AK45" s="23"/>
      <c r="AL45" s="26" t="s">
        <v>50</v>
      </c>
      <c r="AM45" s="28" t="s">
        <v>58</v>
      </c>
    </row>
    <row r="46" spans="2:39" x14ac:dyDescent="0.3">
      <c r="B46" s="32"/>
      <c r="C46" s="6"/>
      <c r="F46" s="6"/>
      <c r="G46" s="5"/>
      <c r="H46" s="5"/>
      <c r="N46" s="23"/>
      <c r="O46" s="25"/>
      <c r="P46" s="23"/>
      <c r="Q46" s="23"/>
      <c r="R46" s="26" t="s">
        <v>50</v>
      </c>
      <c r="S46" s="23"/>
      <c r="T46" s="26" t="s">
        <v>50</v>
      </c>
      <c r="U46" s="27" t="s">
        <v>95</v>
      </c>
      <c r="V46" s="40">
        <f t="shared" si="0"/>
        <v>0</v>
      </c>
      <c r="W46" s="40">
        <f t="shared" si="1"/>
        <v>0</v>
      </c>
      <c r="X46" s="23" t="s">
        <v>92</v>
      </c>
      <c r="Y46" s="26" t="s">
        <v>50</v>
      </c>
      <c r="Z46" s="23"/>
      <c r="AA46" s="26" t="s">
        <v>50</v>
      </c>
      <c r="AB46" s="41">
        <f t="shared" si="2"/>
        <v>0</v>
      </c>
      <c r="AC46" s="23">
        <v>1</v>
      </c>
      <c r="AD46" s="23" t="s">
        <v>97</v>
      </c>
      <c r="AE46" s="24">
        <v>42277</v>
      </c>
      <c r="AF46" s="23" t="s">
        <v>92</v>
      </c>
      <c r="AG46" s="23">
        <f t="shared" si="3"/>
        <v>0</v>
      </c>
      <c r="AH46" s="23"/>
      <c r="AI46" s="27" t="str">
        <f t="shared" si="4"/>
        <v>P20</v>
      </c>
      <c r="AJ46" s="23"/>
      <c r="AK46" s="23"/>
      <c r="AL46" s="26" t="s">
        <v>50</v>
      </c>
      <c r="AM46" s="28" t="s">
        <v>58</v>
      </c>
    </row>
    <row r="47" spans="2:39" x14ac:dyDescent="0.3">
      <c r="B47" s="32"/>
      <c r="C47" s="6"/>
      <c r="F47" s="6"/>
      <c r="G47" s="5"/>
      <c r="H47" s="5"/>
      <c r="N47" s="23"/>
      <c r="O47" s="25"/>
      <c r="P47" s="23"/>
      <c r="Q47" s="23"/>
      <c r="R47" s="26" t="s">
        <v>50</v>
      </c>
      <c r="S47" s="23"/>
      <c r="T47" s="26" t="s">
        <v>50</v>
      </c>
      <c r="U47" s="27" t="s">
        <v>95</v>
      </c>
      <c r="V47" s="40">
        <f t="shared" si="0"/>
        <v>0</v>
      </c>
      <c r="W47" s="40">
        <f t="shared" si="1"/>
        <v>0</v>
      </c>
      <c r="X47" s="23" t="s">
        <v>92</v>
      </c>
      <c r="Y47" s="26" t="s">
        <v>50</v>
      </c>
      <c r="Z47" s="23"/>
      <c r="AA47" s="26" t="s">
        <v>50</v>
      </c>
      <c r="AB47" s="41">
        <f t="shared" si="2"/>
        <v>0</v>
      </c>
      <c r="AC47" s="23">
        <v>1</v>
      </c>
      <c r="AD47" s="23" t="s">
        <v>97</v>
      </c>
      <c r="AE47" s="24">
        <v>42277</v>
      </c>
      <c r="AF47" s="23" t="s">
        <v>92</v>
      </c>
      <c r="AG47" s="23">
        <f t="shared" si="3"/>
        <v>0</v>
      </c>
      <c r="AH47" s="23"/>
      <c r="AI47" s="27" t="str">
        <f t="shared" si="4"/>
        <v>P20</v>
      </c>
      <c r="AJ47" s="23"/>
      <c r="AK47" s="23"/>
      <c r="AL47" s="26" t="s">
        <v>50</v>
      </c>
      <c r="AM47" s="28" t="s">
        <v>58</v>
      </c>
    </row>
    <row r="48" spans="2:39" x14ac:dyDescent="0.3">
      <c r="B48" s="32"/>
      <c r="C48" s="6"/>
      <c r="F48" s="6"/>
      <c r="G48" s="5"/>
      <c r="H48" s="5"/>
      <c r="N48" s="23"/>
      <c r="O48" s="25"/>
      <c r="P48" s="23"/>
      <c r="Q48" s="23"/>
      <c r="R48" s="26" t="s">
        <v>50</v>
      </c>
      <c r="S48" s="23"/>
      <c r="T48" s="26" t="s">
        <v>50</v>
      </c>
      <c r="U48" s="27" t="s">
        <v>95</v>
      </c>
      <c r="V48" s="40">
        <f t="shared" si="0"/>
        <v>0</v>
      </c>
      <c r="W48" s="40">
        <f t="shared" si="1"/>
        <v>0</v>
      </c>
      <c r="X48" s="23" t="s">
        <v>92</v>
      </c>
      <c r="Y48" s="26" t="s">
        <v>50</v>
      </c>
      <c r="Z48" s="23"/>
      <c r="AA48" s="26" t="s">
        <v>50</v>
      </c>
      <c r="AB48" s="41">
        <f t="shared" si="2"/>
        <v>0</v>
      </c>
      <c r="AC48" s="23">
        <v>1</v>
      </c>
      <c r="AD48" s="23" t="s">
        <v>97</v>
      </c>
      <c r="AE48" s="24">
        <v>42277</v>
      </c>
      <c r="AF48" s="23" t="s">
        <v>92</v>
      </c>
      <c r="AG48" s="23">
        <f t="shared" si="3"/>
        <v>0</v>
      </c>
      <c r="AH48" s="23"/>
      <c r="AI48" s="27" t="str">
        <f t="shared" si="4"/>
        <v>P20</v>
      </c>
      <c r="AJ48" s="23"/>
      <c r="AK48" s="23"/>
      <c r="AL48" s="26" t="s">
        <v>50</v>
      </c>
      <c r="AM48" s="28" t="s">
        <v>58</v>
      </c>
    </row>
    <row r="49" spans="2:39" x14ac:dyDescent="0.3">
      <c r="B49" s="32"/>
      <c r="C49" s="6"/>
      <c r="F49" s="6"/>
      <c r="G49" s="5"/>
      <c r="H49" s="5"/>
      <c r="N49" s="23"/>
      <c r="O49" s="25"/>
      <c r="P49" s="23"/>
      <c r="Q49" s="23"/>
      <c r="R49" s="26" t="s">
        <v>50</v>
      </c>
      <c r="S49" s="23"/>
      <c r="T49" s="26" t="s">
        <v>50</v>
      </c>
      <c r="U49" s="27" t="s">
        <v>95</v>
      </c>
      <c r="V49" s="40">
        <f t="shared" si="0"/>
        <v>0</v>
      </c>
      <c r="W49" s="40">
        <f t="shared" si="1"/>
        <v>0</v>
      </c>
      <c r="X49" s="23" t="s">
        <v>92</v>
      </c>
      <c r="Y49" s="26" t="s">
        <v>50</v>
      </c>
      <c r="Z49" s="23"/>
      <c r="AA49" s="26" t="s">
        <v>50</v>
      </c>
      <c r="AB49" s="41">
        <f t="shared" si="2"/>
        <v>0</v>
      </c>
      <c r="AC49" s="23">
        <v>1</v>
      </c>
      <c r="AD49" s="23" t="s">
        <v>97</v>
      </c>
      <c r="AE49" s="24">
        <v>42277</v>
      </c>
      <c r="AF49" s="23" t="s">
        <v>92</v>
      </c>
      <c r="AG49" s="23">
        <f t="shared" si="3"/>
        <v>0</v>
      </c>
      <c r="AH49" s="23"/>
      <c r="AI49" s="27" t="str">
        <f t="shared" si="4"/>
        <v>P20</v>
      </c>
      <c r="AJ49" s="23"/>
      <c r="AK49" s="23"/>
      <c r="AL49" s="26" t="s">
        <v>50</v>
      </c>
      <c r="AM49" s="28" t="s">
        <v>58</v>
      </c>
    </row>
    <row r="50" spans="2:39" x14ac:dyDescent="0.3">
      <c r="B50" s="32"/>
      <c r="C50" s="6"/>
      <c r="F50" s="6"/>
      <c r="G50" s="5"/>
      <c r="H50" s="5"/>
      <c r="N50" s="23"/>
      <c r="O50" s="25"/>
      <c r="P50" s="23"/>
      <c r="Q50" s="23"/>
      <c r="R50" s="26" t="s">
        <v>50</v>
      </c>
      <c r="S50" s="23"/>
      <c r="T50" s="26" t="s">
        <v>50</v>
      </c>
      <c r="U50" s="27" t="s">
        <v>95</v>
      </c>
      <c r="V50" s="40">
        <f t="shared" si="0"/>
        <v>0</v>
      </c>
      <c r="W50" s="40">
        <f t="shared" si="1"/>
        <v>0</v>
      </c>
      <c r="X50" s="23" t="s">
        <v>92</v>
      </c>
      <c r="Y50" s="26" t="s">
        <v>50</v>
      </c>
      <c r="Z50" s="23"/>
      <c r="AA50" s="26" t="s">
        <v>50</v>
      </c>
      <c r="AB50" s="41">
        <f t="shared" si="2"/>
        <v>0</v>
      </c>
      <c r="AC50" s="23">
        <v>1</v>
      </c>
      <c r="AD50" s="23" t="s">
        <v>97</v>
      </c>
      <c r="AE50" s="24">
        <v>42277</v>
      </c>
      <c r="AF50" s="23" t="s">
        <v>92</v>
      </c>
      <c r="AG50" s="23">
        <f t="shared" si="3"/>
        <v>0</v>
      </c>
      <c r="AH50" s="23"/>
      <c r="AI50" s="27" t="str">
        <f t="shared" si="4"/>
        <v>P20</v>
      </c>
      <c r="AJ50" s="23"/>
      <c r="AK50" s="23"/>
      <c r="AL50" s="26" t="s">
        <v>50</v>
      </c>
      <c r="AM50" s="28" t="s">
        <v>58</v>
      </c>
    </row>
    <row r="51" spans="2:39" x14ac:dyDescent="0.3">
      <c r="B51" s="32"/>
      <c r="C51" s="6"/>
      <c r="F51" s="6"/>
      <c r="G51" s="5"/>
      <c r="H51" s="5"/>
      <c r="N51" s="23"/>
      <c r="O51" s="25"/>
      <c r="P51" s="23"/>
      <c r="Q51" s="23"/>
      <c r="R51" s="26" t="s">
        <v>50</v>
      </c>
      <c r="S51" s="23"/>
      <c r="T51" s="26" t="s">
        <v>50</v>
      </c>
      <c r="U51" s="27" t="s">
        <v>95</v>
      </c>
      <c r="V51" s="40">
        <f t="shared" si="0"/>
        <v>0</v>
      </c>
      <c r="W51" s="40">
        <f t="shared" si="1"/>
        <v>0</v>
      </c>
      <c r="X51" s="23" t="s">
        <v>92</v>
      </c>
      <c r="Y51" s="26" t="s">
        <v>50</v>
      </c>
      <c r="Z51" s="23"/>
      <c r="AA51" s="26" t="s">
        <v>50</v>
      </c>
      <c r="AB51" s="41">
        <f t="shared" si="2"/>
        <v>0</v>
      </c>
      <c r="AC51" s="23">
        <v>1</v>
      </c>
      <c r="AD51" s="23" t="s">
        <v>97</v>
      </c>
      <c r="AE51" s="24">
        <v>42277</v>
      </c>
      <c r="AF51" s="23" t="s">
        <v>92</v>
      </c>
      <c r="AG51" s="23">
        <f t="shared" si="3"/>
        <v>0</v>
      </c>
      <c r="AH51" s="23"/>
      <c r="AI51" s="27" t="str">
        <f t="shared" si="4"/>
        <v>P20</v>
      </c>
      <c r="AJ51" s="23"/>
      <c r="AK51" s="23"/>
      <c r="AL51" s="26" t="s">
        <v>50</v>
      </c>
      <c r="AM51" s="28" t="s">
        <v>58</v>
      </c>
    </row>
    <row r="52" spans="2:39" x14ac:dyDescent="0.3">
      <c r="B52" s="32"/>
      <c r="C52" s="6"/>
      <c r="F52" s="6"/>
      <c r="G52" s="5"/>
      <c r="H52" s="5"/>
      <c r="N52" s="23"/>
      <c r="O52" s="25"/>
      <c r="P52" s="23"/>
      <c r="Q52" s="23"/>
      <c r="R52" s="26" t="s">
        <v>50</v>
      </c>
      <c r="S52" s="23"/>
      <c r="T52" s="26" t="s">
        <v>50</v>
      </c>
      <c r="U52" s="27" t="s">
        <v>95</v>
      </c>
      <c r="V52" s="40">
        <f t="shared" si="0"/>
        <v>0</v>
      </c>
      <c r="W52" s="40">
        <f t="shared" si="1"/>
        <v>0</v>
      </c>
      <c r="X52" s="23" t="s">
        <v>92</v>
      </c>
      <c r="Y52" s="26" t="s">
        <v>50</v>
      </c>
      <c r="Z52" s="23"/>
      <c r="AA52" s="26" t="s">
        <v>50</v>
      </c>
      <c r="AB52" s="41">
        <f t="shared" si="2"/>
        <v>0</v>
      </c>
      <c r="AC52" s="23">
        <v>1</v>
      </c>
      <c r="AD52" s="23" t="s">
        <v>97</v>
      </c>
      <c r="AE52" s="24">
        <v>42277</v>
      </c>
      <c r="AF52" s="23" t="s">
        <v>92</v>
      </c>
      <c r="AG52" s="23">
        <f t="shared" si="3"/>
        <v>0</v>
      </c>
      <c r="AH52" s="23"/>
      <c r="AI52" s="27" t="str">
        <f t="shared" si="4"/>
        <v>P20</v>
      </c>
      <c r="AJ52" s="23"/>
      <c r="AK52" s="23"/>
      <c r="AL52" s="26" t="s">
        <v>50</v>
      </c>
      <c r="AM52" s="28" t="s">
        <v>58</v>
      </c>
    </row>
    <row r="53" spans="2:39" x14ac:dyDescent="0.3">
      <c r="B53" s="32"/>
      <c r="C53" s="6"/>
      <c r="F53" s="6"/>
      <c r="G53" s="5"/>
      <c r="H53" s="5"/>
      <c r="N53" s="23"/>
      <c r="O53" s="25"/>
      <c r="P53" s="23"/>
      <c r="Q53" s="23"/>
      <c r="R53" s="26" t="s">
        <v>50</v>
      </c>
      <c r="S53" s="23"/>
      <c r="T53" s="26" t="s">
        <v>50</v>
      </c>
      <c r="U53" s="27" t="s">
        <v>95</v>
      </c>
      <c r="V53" s="40">
        <f t="shared" si="0"/>
        <v>0</v>
      </c>
      <c r="W53" s="40">
        <f t="shared" si="1"/>
        <v>0</v>
      </c>
      <c r="X53" s="23" t="s">
        <v>92</v>
      </c>
      <c r="Y53" s="26" t="s">
        <v>50</v>
      </c>
      <c r="Z53" s="23"/>
      <c r="AA53" s="26" t="s">
        <v>50</v>
      </c>
      <c r="AB53" s="41">
        <f t="shared" si="2"/>
        <v>0</v>
      </c>
      <c r="AC53" s="23">
        <v>1</v>
      </c>
      <c r="AD53" s="23" t="s">
        <v>97</v>
      </c>
      <c r="AE53" s="24">
        <v>42277</v>
      </c>
      <c r="AF53" s="23" t="s">
        <v>92</v>
      </c>
      <c r="AG53" s="23">
        <f t="shared" si="3"/>
        <v>0</v>
      </c>
      <c r="AH53" s="23"/>
      <c r="AI53" s="27" t="str">
        <f t="shared" si="4"/>
        <v>P20</v>
      </c>
      <c r="AJ53" s="23"/>
      <c r="AK53" s="23"/>
      <c r="AL53" s="26" t="s">
        <v>50</v>
      </c>
      <c r="AM53" s="28" t="s">
        <v>58</v>
      </c>
    </row>
    <row r="54" spans="2:39" x14ac:dyDescent="0.3">
      <c r="B54" s="32"/>
      <c r="C54" s="6"/>
      <c r="F54" s="6"/>
      <c r="G54" s="5"/>
      <c r="H54" s="5"/>
      <c r="N54" s="23"/>
      <c r="O54" s="25"/>
      <c r="P54" s="23"/>
      <c r="Q54" s="23"/>
      <c r="R54" s="26" t="s">
        <v>50</v>
      </c>
      <c r="S54" s="23"/>
      <c r="T54" s="26" t="s">
        <v>50</v>
      </c>
      <c r="U54" s="27" t="s">
        <v>95</v>
      </c>
      <c r="V54" s="40">
        <f t="shared" si="0"/>
        <v>0</v>
      </c>
      <c r="W54" s="40">
        <f t="shared" si="1"/>
        <v>0</v>
      </c>
      <c r="X54" s="23" t="s">
        <v>92</v>
      </c>
      <c r="Y54" s="26" t="s">
        <v>50</v>
      </c>
      <c r="Z54" s="23"/>
      <c r="AA54" s="26" t="s">
        <v>50</v>
      </c>
      <c r="AB54" s="41">
        <f t="shared" si="2"/>
        <v>0</v>
      </c>
      <c r="AC54" s="23">
        <v>1</v>
      </c>
      <c r="AD54" s="23" t="s">
        <v>97</v>
      </c>
      <c r="AE54" s="24">
        <v>42277</v>
      </c>
      <c r="AF54" s="23" t="s">
        <v>92</v>
      </c>
      <c r="AG54" s="23">
        <f t="shared" si="3"/>
        <v>0</v>
      </c>
      <c r="AH54" s="23"/>
      <c r="AI54" s="27" t="str">
        <f t="shared" si="4"/>
        <v>P20</v>
      </c>
      <c r="AJ54" s="23"/>
      <c r="AK54" s="23"/>
      <c r="AL54" s="26" t="s">
        <v>50</v>
      </c>
      <c r="AM54" s="28" t="s">
        <v>58</v>
      </c>
    </row>
    <row r="55" spans="2:39" x14ac:dyDescent="0.3">
      <c r="B55" s="32"/>
      <c r="C55" s="6"/>
      <c r="F55" s="6"/>
      <c r="G55" s="5"/>
      <c r="H55" s="5"/>
      <c r="N55" s="23"/>
      <c r="O55" s="25"/>
      <c r="P55" s="23"/>
      <c r="Q55" s="23"/>
      <c r="R55" s="26" t="s">
        <v>50</v>
      </c>
      <c r="S55" s="23"/>
      <c r="T55" s="26" t="s">
        <v>50</v>
      </c>
      <c r="U55" s="27" t="s">
        <v>95</v>
      </c>
      <c r="V55" s="40">
        <f t="shared" ref="V55:V118" si="5">F55</f>
        <v>0</v>
      </c>
      <c r="W55" s="40">
        <f t="shared" ref="W55:W118" si="6">C55-F55</f>
        <v>0</v>
      </c>
      <c r="X55" s="23" t="s">
        <v>92</v>
      </c>
      <c r="Y55" s="26" t="s">
        <v>50</v>
      </c>
      <c r="Z55" s="23"/>
      <c r="AA55" s="26" t="s">
        <v>50</v>
      </c>
      <c r="AB55" s="41">
        <f t="shared" ref="AB55:AB118" si="7">W55</f>
        <v>0</v>
      </c>
      <c r="AC55" s="23">
        <v>1</v>
      </c>
      <c r="AD55" s="23" t="s">
        <v>97</v>
      </c>
      <c r="AE55" s="24">
        <v>42277</v>
      </c>
      <c r="AF55" s="23" t="s">
        <v>92</v>
      </c>
      <c r="AG55" s="23">
        <f t="shared" ref="AG55:AG118" si="8">J55</f>
        <v>0</v>
      </c>
      <c r="AH55" s="23"/>
      <c r="AI55" s="27" t="str">
        <f t="shared" ref="AI55:AI118" si="9">U55</f>
        <v>P20</v>
      </c>
      <c r="AJ55" s="23"/>
      <c r="AK55" s="23"/>
      <c r="AL55" s="26" t="s">
        <v>50</v>
      </c>
      <c r="AM55" s="28" t="s">
        <v>58</v>
      </c>
    </row>
    <row r="56" spans="2:39" x14ac:dyDescent="0.3">
      <c r="B56" s="32"/>
      <c r="C56" s="6"/>
      <c r="F56" s="6"/>
      <c r="G56" s="5"/>
      <c r="H56" s="5"/>
      <c r="N56" s="23"/>
      <c r="O56" s="25"/>
      <c r="P56" s="23"/>
      <c r="Q56" s="23"/>
      <c r="R56" s="26" t="s">
        <v>50</v>
      </c>
      <c r="S56" s="23"/>
      <c r="T56" s="26" t="s">
        <v>50</v>
      </c>
      <c r="U56" s="27" t="s">
        <v>95</v>
      </c>
      <c r="V56" s="40">
        <f t="shared" si="5"/>
        <v>0</v>
      </c>
      <c r="W56" s="40">
        <f t="shared" si="6"/>
        <v>0</v>
      </c>
      <c r="X56" s="23" t="s">
        <v>92</v>
      </c>
      <c r="Y56" s="26" t="s">
        <v>50</v>
      </c>
      <c r="Z56" s="23"/>
      <c r="AA56" s="26" t="s">
        <v>50</v>
      </c>
      <c r="AB56" s="41">
        <f t="shared" si="7"/>
        <v>0</v>
      </c>
      <c r="AC56" s="23">
        <v>1</v>
      </c>
      <c r="AD56" s="23" t="s">
        <v>97</v>
      </c>
      <c r="AE56" s="24">
        <v>42277</v>
      </c>
      <c r="AF56" s="23" t="s">
        <v>92</v>
      </c>
      <c r="AG56" s="23">
        <f t="shared" si="8"/>
        <v>0</v>
      </c>
      <c r="AH56" s="23"/>
      <c r="AI56" s="27" t="str">
        <f t="shared" si="9"/>
        <v>P20</v>
      </c>
      <c r="AJ56" s="23"/>
      <c r="AK56" s="23"/>
      <c r="AL56" s="26" t="s">
        <v>50</v>
      </c>
      <c r="AM56" s="28" t="s">
        <v>58</v>
      </c>
    </row>
    <row r="57" spans="2:39" x14ac:dyDescent="0.3">
      <c r="B57" s="32"/>
      <c r="C57" s="6"/>
      <c r="F57" s="6"/>
      <c r="G57" s="5"/>
      <c r="H57" s="5"/>
      <c r="N57" s="23"/>
      <c r="O57" s="25"/>
      <c r="P57" s="23"/>
      <c r="Q57" s="23"/>
      <c r="R57" s="26" t="s">
        <v>50</v>
      </c>
      <c r="S57" s="23"/>
      <c r="T57" s="26" t="s">
        <v>50</v>
      </c>
      <c r="U57" s="27" t="s">
        <v>95</v>
      </c>
      <c r="V57" s="40">
        <f t="shared" si="5"/>
        <v>0</v>
      </c>
      <c r="W57" s="40">
        <f t="shared" si="6"/>
        <v>0</v>
      </c>
      <c r="X57" s="23" t="s">
        <v>92</v>
      </c>
      <c r="Y57" s="26" t="s">
        <v>50</v>
      </c>
      <c r="Z57" s="23"/>
      <c r="AA57" s="26" t="s">
        <v>50</v>
      </c>
      <c r="AB57" s="41">
        <f t="shared" si="7"/>
        <v>0</v>
      </c>
      <c r="AC57" s="23">
        <v>1</v>
      </c>
      <c r="AD57" s="23" t="s">
        <v>97</v>
      </c>
      <c r="AE57" s="24">
        <v>42277</v>
      </c>
      <c r="AF57" s="23" t="s">
        <v>92</v>
      </c>
      <c r="AG57" s="23">
        <f t="shared" si="8"/>
        <v>0</v>
      </c>
      <c r="AH57" s="23"/>
      <c r="AI57" s="27" t="str">
        <f t="shared" si="9"/>
        <v>P20</v>
      </c>
      <c r="AJ57" s="23"/>
      <c r="AK57" s="23"/>
      <c r="AL57" s="26" t="s">
        <v>50</v>
      </c>
      <c r="AM57" s="28" t="s">
        <v>58</v>
      </c>
    </row>
    <row r="58" spans="2:39" x14ac:dyDescent="0.3">
      <c r="B58" s="32"/>
      <c r="C58" s="6"/>
      <c r="F58" s="6"/>
      <c r="G58" s="5"/>
      <c r="H58" s="5"/>
      <c r="N58" s="23"/>
      <c r="O58" s="25"/>
      <c r="P58" s="23"/>
      <c r="Q58" s="23"/>
      <c r="R58" s="26" t="s">
        <v>50</v>
      </c>
      <c r="S58" s="23"/>
      <c r="T58" s="26" t="s">
        <v>50</v>
      </c>
      <c r="U58" s="27" t="s">
        <v>95</v>
      </c>
      <c r="V58" s="40">
        <f t="shared" si="5"/>
        <v>0</v>
      </c>
      <c r="W58" s="40">
        <f t="shared" si="6"/>
        <v>0</v>
      </c>
      <c r="X58" s="23" t="s">
        <v>92</v>
      </c>
      <c r="Y58" s="26" t="s">
        <v>50</v>
      </c>
      <c r="Z58" s="23"/>
      <c r="AA58" s="26" t="s">
        <v>50</v>
      </c>
      <c r="AB58" s="41">
        <f t="shared" si="7"/>
        <v>0</v>
      </c>
      <c r="AC58" s="23">
        <v>1</v>
      </c>
      <c r="AD58" s="23" t="s">
        <v>97</v>
      </c>
      <c r="AE58" s="24">
        <v>42277</v>
      </c>
      <c r="AF58" s="23" t="s">
        <v>92</v>
      </c>
      <c r="AG58" s="23">
        <f t="shared" si="8"/>
        <v>0</v>
      </c>
      <c r="AH58" s="23"/>
      <c r="AI58" s="27" t="str">
        <f t="shared" si="9"/>
        <v>P20</v>
      </c>
      <c r="AJ58" s="23"/>
      <c r="AK58" s="23"/>
      <c r="AL58" s="26" t="s">
        <v>50</v>
      </c>
      <c r="AM58" s="28" t="s">
        <v>58</v>
      </c>
    </row>
    <row r="59" spans="2:39" x14ac:dyDescent="0.3">
      <c r="B59" s="32"/>
      <c r="C59" s="6"/>
      <c r="F59" s="6"/>
      <c r="G59" s="5"/>
      <c r="H59" s="5"/>
      <c r="N59" s="23"/>
      <c r="O59" s="25"/>
      <c r="P59" s="23"/>
      <c r="Q59" s="23"/>
      <c r="R59" s="26" t="s">
        <v>50</v>
      </c>
      <c r="S59" s="23"/>
      <c r="T59" s="26" t="s">
        <v>50</v>
      </c>
      <c r="U59" s="27" t="s">
        <v>95</v>
      </c>
      <c r="V59" s="40">
        <f t="shared" si="5"/>
        <v>0</v>
      </c>
      <c r="W59" s="40">
        <f t="shared" si="6"/>
        <v>0</v>
      </c>
      <c r="X59" s="23" t="s">
        <v>92</v>
      </c>
      <c r="Y59" s="26" t="s">
        <v>50</v>
      </c>
      <c r="Z59" s="23"/>
      <c r="AA59" s="26" t="s">
        <v>50</v>
      </c>
      <c r="AB59" s="41">
        <f t="shared" si="7"/>
        <v>0</v>
      </c>
      <c r="AC59" s="23">
        <v>1</v>
      </c>
      <c r="AD59" s="23" t="s">
        <v>97</v>
      </c>
      <c r="AE59" s="24">
        <v>42277</v>
      </c>
      <c r="AF59" s="23" t="s">
        <v>92</v>
      </c>
      <c r="AG59" s="23">
        <f t="shared" si="8"/>
        <v>0</v>
      </c>
      <c r="AH59" s="23"/>
      <c r="AI59" s="27" t="str">
        <f t="shared" si="9"/>
        <v>P20</v>
      </c>
      <c r="AJ59" s="23"/>
      <c r="AK59" s="23"/>
      <c r="AL59" s="26" t="s">
        <v>50</v>
      </c>
      <c r="AM59" s="28" t="s">
        <v>58</v>
      </c>
    </row>
    <row r="60" spans="2:39" x14ac:dyDescent="0.3">
      <c r="B60" s="32"/>
      <c r="C60" s="6"/>
      <c r="F60" s="6"/>
      <c r="G60" s="5"/>
      <c r="H60" s="5"/>
      <c r="N60" s="23"/>
      <c r="O60" s="25"/>
      <c r="P60" s="23"/>
      <c r="Q60" s="23"/>
      <c r="R60" s="26" t="s">
        <v>50</v>
      </c>
      <c r="S60" s="23"/>
      <c r="T60" s="26" t="s">
        <v>50</v>
      </c>
      <c r="U60" s="27" t="s">
        <v>95</v>
      </c>
      <c r="V60" s="40">
        <f t="shared" si="5"/>
        <v>0</v>
      </c>
      <c r="W60" s="40">
        <f t="shared" si="6"/>
        <v>0</v>
      </c>
      <c r="X60" s="23" t="s">
        <v>92</v>
      </c>
      <c r="Y60" s="26" t="s">
        <v>50</v>
      </c>
      <c r="Z60" s="23"/>
      <c r="AA60" s="26" t="s">
        <v>50</v>
      </c>
      <c r="AB60" s="41">
        <f t="shared" si="7"/>
        <v>0</v>
      </c>
      <c r="AC60" s="23">
        <v>1</v>
      </c>
      <c r="AD60" s="23" t="s">
        <v>97</v>
      </c>
      <c r="AE60" s="24">
        <v>42277</v>
      </c>
      <c r="AF60" s="23" t="s">
        <v>92</v>
      </c>
      <c r="AG60" s="23">
        <f t="shared" si="8"/>
        <v>0</v>
      </c>
      <c r="AH60" s="23"/>
      <c r="AI60" s="27" t="str">
        <f t="shared" si="9"/>
        <v>P20</v>
      </c>
      <c r="AJ60" s="23"/>
      <c r="AK60" s="23"/>
      <c r="AL60" s="26" t="s">
        <v>50</v>
      </c>
      <c r="AM60" s="28" t="s">
        <v>58</v>
      </c>
    </row>
    <row r="61" spans="2:39" x14ac:dyDescent="0.3">
      <c r="B61" s="32"/>
      <c r="C61" s="6"/>
      <c r="F61" s="6"/>
      <c r="G61" s="5"/>
      <c r="H61" s="5"/>
      <c r="N61" s="23"/>
      <c r="O61" s="25"/>
      <c r="P61" s="23"/>
      <c r="Q61" s="23"/>
      <c r="R61" s="26" t="s">
        <v>50</v>
      </c>
      <c r="S61" s="23"/>
      <c r="T61" s="26" t="s">
        <v>50</v>
      </c>
      <c r="U61" s="27" t="s">
        <v>95</v>
      </c>
      <c r="V61" s="40">
        <f t="shared" si="5"/>
        <v>0</v>
      </c>
      <c r="W61" s="40">
        <f t="shared" si="6"/>
        <v>0</v>
      </c>
      <c r="X61" s="23" t="s">
        <v>92</v>
      </c>
      <c r="Y61" s="26" t="s">
        <v>50</v>
      </c>
      <c r="Z61" s="23"/>
      <c r="AA61" s="26" t="s">
        <v>50</v>
      </c>
      <c r="AB61" s="41">
        <f t="shared" si="7"/>
        <v>0</v>
      </c>
      <c r="AC61" s="23">
        <v>1</v>
      </c>
      <c r="AD61" s="23" t="s">
        <v>97</v>
      </c>
      <c r="AE61" s="24">
        <v>42277</v>
      </c>
      <c r="AF61" s="23" t="s">
        <v>92</v>
      </c>
      <c r="AG61" s="23">
        <f t="shared" si="8"/>
        <v>0</v>
      </c>
      <c r="AH61" s="23"/>
      <c r="AI61" s="27" t="str">
        <f t="shared" si="9"/>
        <v>P20</v>
      </c>
      <c r="AJ61" s="23"/>
      <c r="AK61" s="23"/>
      <c r="AL61" s="26" t="s">
        <v>50</v>
      </c>
      <c r="AM61" s="28" t="s">
        <v>58</v>
      </c>
    </row>
    <row r="62" spans="2:39" x14ac:dyDescent="0.3">
      <c r="B62" s="32"/>
      <c r="C62" s="6"/>
      <c r="F62" s="6"/>
      <c r="G62" s="5"/>
      <c r="H62" s="5"/>
      <c r="N62" s="23"/>
      <c r="O62" s="25"/>
      <c r="P62" s="23"/>
      <c r="Q62" s="23"/>
      <c r="R62" s="26" t="s">
        <v>50</v>
      </c>
      <c r="S62" s="23"/>
      <c r="T62" s="26" t="s">
        <v>50</v>
      </c>
      <c r="U62" s="27" t="s">
        <v>95</v>
      </c>
      <c r="V62" s="40">
        <f t="shared" si="5"/>
        <v>0</v>
      </c>
      <c r="W62" s="40">
        <f t="shared" si="6"/>
        <v>0</v>
      </c>
      <c r="X62" s="23" t="s">
        <v>92</v>
      </c>
      <c r="Y62" s="26" t="s">
        <v>50</v>
      </c>
      <c r="Z62" s="23"/>
      <c r="AA62" s="26" t="s">
        <v>50</v>
      </c>
      <c r="AB62" s="41">
        <f t="shared" si="7"/>
        <v>0</v>
      </c>
      <c r="AC62" s="23">
        <v>1</v>
      </c>
      <c r="AD62" s="23" t="s">
        <v>97</v>
      </c>
      <c r="AE62" s="24">
        <v>42277</v>
      </c>
      <c r="AF62" s="23" t="s">
        <v>92</v>
      </c>
      <c r="AG62" s="23">
        <f t="shared" si="8"/>
        <v>0</v>
      </c>
      <c r="AH62" s="23"/>
      <c r="AI62" s="27" t="str">
        <f t="shared" si="9"/>
        <v>P20</v>
      </c>
      <c r="AJ62" s="23"/>
      <c r="AK62" s="23"/>
      <c r="AL62" s="26" t="s">
        <v>50</v>
      </c>
      <c r="AM62" s="28" t="s">
        <v>58</v>
      </c>
    </row>
    <row r="63" spans="2:39" x14ac:dyDescent="0.3">
      <c r="B63" s="32"/>
      <c r="C63" s="6"/>
      <c r="F63" s="6"/>
      <c r="G63" s="5"/>
      <c r="H63" s="5"/>
      <c r="N63" s="23"/>
      <c r="O63" s="25"/>
      <c r="P63" s="23"/>
      <c r="Q63" s="23"/>
      <c r="R63" s="26" t="s">
        <v>50</v>
      </c>
      <c r="S63" s="23"/>
      <c r="T63" s="26" t="s">
        <v>50</v>
      </c>
      <c r="U63" s="27" t="s">
        <v>95</v>
      </c>
      <c r="V63" s="40">
        <f t="shared" si="5"/>
        <v>0</v>
      </c>
      <c r="W63" s="40">
        <f t="shared" si="6"/>
        <v>0</v>
      </c>
      <c r="X63" s="23" t="s">
        <v>92</v>
      </c>
      <c r="Y63" s="26" t="s">
        <v>50</v>
      </c>
      <c r="Z63" s="23"/>
      <c r="AA63" s="26" t="s">
        <v>50</v>
      </c>
      <c r="AB63" s="41">
        <f t="shared" si="7"/>
        <v>0</v>
      </c>
      <c r="AC63" s="23">
        <v>1</v>
      </c>
      <c r="AD63" s="23" t="s">
        <v>97</v>
      </c>
      <c r="AE63" s="24">
        <v>42277</v>
      </c>
      <c r="AF63" s="23" t="s">
        <v>92</v>
      </c>
      <c r="AG63" s="23">
        <f t="shared" si="8"/>
        <v>0</v>
      </c>
      <c r="AH63" s="23"/>
      <c r="AI63" s="27" t="str">
        <f t="shared" si="9"/>
        <v>P20</v>
      </c>
      <c r="AJ63" s="23"/>
      <c r="AK63" s="23"/>
      <c r="AL63" s="26" t="s">
        <v>50</v>
      </c>
      <c r="AM63" s="28" t="s">
        <v>58</v>
      </c>
    </row>
    <row r="64" spans="2:39" x14ac:dyDescent="0.3">
      <c r="B64" s="32"/>
      <c r="C64" s="6"/>
      <c r="F64" s="6"/>
      <c r="G64" s="5"/>
      <c r="H64" s="5"/>
      <c r="N64" s="23"/>
      <c r="O64" s="25"/>
      <c r="P64" s="23"/>
      <c r="Q64" s="23"/>
      <c r="R64" s="26" t="s">
        <v>50</v>
      </c>
      <c r="S64" s="23"/>
      <c r="T64" s="26" t="s">
        <v>50</v>
      </c>
      <c r="U64" s="27" t="s">
        <v>95</v>
      </c>
      <c r="V64" s="40">
        <f t="shared" si="5"/>
        <v>0</v>
      </c>
      <c r="W64" s="40">
        <f t="shared" si="6"/>
        <v>0</v>
      </c>
      <c r="X64" s="23" t="s">
        <v>92</v>
      </c>
      <c r="Y64" s="26" t="s">
        <v>50</v>
      </c>
      <c r="Z64" s="23"/>
      <c r="AA64" s="26" t="s">
        <v>50</v>
      </c>
      <c r="AB64" s="41">
        <f t="shared" si="7"/>
        <v>0</v>
      </c>
      <c r="AC64" s="23">
        <v>1</v>
      </c>
      <c r="AD64" s="23" t="s">
        <v>97</v>
      </c>
      <c r="AE64" s="24">
        <v>42277</v>
      </c>
      <c r="AF64" s="23" t="s">
        <v>92</v>
      </c>
      <c r="AG64" s="23">
        <f t="shared" si="8"/>
        <v>0</v>
      </c>
      <c r="AH64" s="23"/>
      <c r="AI64" s="27" t="str">
        <f t="shared" si="9"/>
        <v>P20</v>
      </c>
      <c r="AJ64" s="23"/>
      <c r="AK64" s="23"/>
      <c r="AL64" s="26" t="s">
        <v>50</v>
      </c>
      <c r="AM64" s="28" t="s">
        <v>58</v>
      </c>
    </row>
    <row r="65" spans="2:39" x14ac:dyDescent="0.3">
      <c r="B65" s="32"/>
      <c r="C65" s="6"/>
      <c r="F65" s="6"/>
      <c r="G65" s="5"/>
      <c r="H65" s="5"/>
      <c r="N65" s="23"/>
      <c r="O65" s="25"/>
      <c r="P65" s="23"/>
      <c r="Q65" s="23"/>
      <c r="R65" s="26" t="s">
        <v>50</v>
      </c>
      <c r="S65" s="23"/>
      <c r="T65" s="26" t="s">
        <v>50</v>
      </c>
      <c r="U65" s="27" t="s">
        <v>95</v>
      </c>
      <c r="V65" s="40">
        <f t="shared" si="5"/>
        <v>0</v>
      </c>
      <c r="W65" s="40">
        <f t="shared" si="6"/>
        <v>0</v>
      </c>
      <c r="X65" s="23" t="s">
        <v>92</v>
      </c>
      <c r="Y65" s="26" t="s">
        <v>50</v>
      </c>
      <c r="Z65" s="23"/>
      <c r="AA65" s="26" t="s">
        <v>50</v>
      </c>
      <c r="AB65" s="41">
        <f t="shared" si="7"/>
        <v>0</v>
      </c>
      <c r="AC65" s="23">
        <v>1</v>
      </c>
      <c r="AD65" s="23" t="s">
        <v>97</v>
      </c>
      <c r="AE65" s="24">
        <v>42277</v>
      </c>
      <c r="AF65" s="23" t="s">
        <v>92</v>
      </c>
      <c r="AG65" s="23">
        <f t="shared" si="8"/>
        <v>0</v>
      </c>
      <c r="AH65" s="23"/>
      <c r="AI65" s="27" t="str">
        <f t="shared" si="9"/>
        <v>P20</v>
      </c>
      <c r="AJ65" s="23"/>
      <c r="AK65" s="23"/>
      <c r="AL65" s="26" t="s">
        <v>50</v>
      </c>
      <c r="AM65" s="28" t="s">
        <v>58</v>
      </c>
    </row>
    <row r="66" spans="2:39" x14ac:dyDescent="0.3">
      <c r="B66" s="32"/>
      <c r="C66" s="6"/>
      <c r="F66" s="6"/>
      <c r="G66" s="5"/>
      <c r="H66" s="5"/>
      <c r="N66" s="23"/>
      <c r="O66" s="25"/>
      <c r="P66" s="23"/>
      <c r="Q66" s="23"/>
      <c r="R66" s="26" t="s">
        <v>50</v>
      </c>
      <c r="S66" s="23"/>
      <c r="T66" s="26" t="s">
        <v>50</v>
      </c>
      <c r="U66" s="27" t="s">
        <v>95</v>
      </c>
      <c r="V66" s="40">
        <f t="shared" si="5"/>
        <v>0</v>
      </c>
      <c r="W66" s="40">
        <f t="shared" si="6"/>
        <v>0</v>
      </c>
      <c r="X66" s="23" t="s">
        <v>92</v>
      </c>
      <c r="Y66" s="26" t="s">
        <v>50</v>
      </c>
      <c r="Z66" s="23"/>
      <c r="AA66" s="26" t="s">
        <v>50</v>
      </c>
      <c r="AB66" s="41">
        <f t="shared" si="7"/>
        <v>0</v>
      </c>
      <c r="AC66" s="23">
        <v>1</v>
      </c>
      <c r="AD66" s="23" t="s">
        <v>97</v>
      </c>
      <c r="AE66" s="24">
        <v>42277</v>
      </c>
      <c r="AF66" s="23" t="s">
        <v>92</v>
      </c>
      <c r="AG66" s="23">
        <f t="shared" si="8"/>
        <v>0</v>
      </c>
      <c r="AH66" s="23"/>
      <c r="AI66" s="27" t="str">
        <f t="shared" si="9"/>
        <v>P20</v>
      </c>
      <c r="AJ66" s="23"/>
      <c r="AK66" s="23"/>
      <c r="AL66" s="26" t="s">
        <v>50</v>
      </c>
      <c r="AM66" s="28" t="s">
        <v>58</v>
      </c>
    </row>
    <row r="67" spans="2:39" x14ac:dyDescent="0.3">
      <c r="B67" s="32"/>
      <c r="C67" s="6"/>
      <c r="F67" s="6"/>
      <c r="G67" s="5"/>
      <c r="H67" s="5"/>
      <c r="N67" s="23"/>
      <c r="O67" s="25"/>
      <c r="P67" s="23"/>
      <c r="Q67" s="23"/>
      <c r="R67" s="26" t="s">
        <v>50</v>
      </c>
      <c r="S67" s="23"/>
      <c r="T67" s="26" t="s">
        <v>50</v>
      </c>
      <c r="U67" s="27" t="s">
        <v>95</v>
      </c>
      <c r="V67" s="40">
        <f t="shared" si="5"/>
        <v>0</v>
      </c>
      <c r="W67" s="40">
        <f t="shared" si="6"/>
        <v>0</v>
      </c>
      <c r="X67" s="23" t="s">
        <v>92</v>
      </c>
      <c r="Y67" s="26" t="s">
        <v>50</v>
      </c>
      <c r="Z67" s="23"/>
      <c r="AA67" s="26" t="s">
        <v>50</v>
      </c>
      <c r="AB67" s="41">
        <f t="shared" si="7"/>
        <v>0</v>
      </c>
      <c r="AC67" s="23">
        <v>1</v>
      </c>
      <c r="AD67" s="23" t="s">
        <v>97</v>
      </c>
      <c r="AE67" s="24">
        <v>42277</v>
      </c>
      <c r="AF67" s="23" t="s">
        <v>92</v>
      </c>
      <c r="AG67" s="23">
        <f t="shared" si="8"/>
        <v>0</v>
      </c>
      <c r="AH67" s="23"/>
      <c r="AI67" s="27" t="str">
        <f t="shared" si="9"/>
        <v>P20</v>
      </c>
      <c r="AJ67" s="23"/>
      <c r="AK67" s="23"/>
      <c r="AL67" s="26" t="s">
        <v>50</v>
      </c>
      <c r="AM67" s="28" t="s">
        <v>58</v>
      </c>
    </row>
    <row r="68" spans="2:39" x14ac:dyDescent="0.3">
      <c r="B68" s="32"/>
      <c r="C68" s="6"/>
      <c r="F68" s="6"/>
      <c r="G68" s="5"/>
      <c r="H68" s="5"/>
      <c r="N68" s="23"/>
      <c r="O68" s="25"/>
      <c r="P68" s="23"/>
      <c r="Q68" s="23"/>
      <c r="R68" s="26" t="s">
        <v>50</v>
      </c>
      <c r="S68" s="23"/>
      <c r="T68" s="26" t="s">
        <v>50</v>
      </c>
      <c r="U68" s="27" t="s">
        <v>95</v>
      </c>
      <c r="V68" s="40">
        <f t="shared" si="5"/>
        <v>0</v>
      </c>
      <c r="W68" s="40">
        <f t="shared" si="6"/>
        <v>0</v>
      </c>
      <c r="X68" s="23" t="s">
        <v>92</v>
      </c>
      <c r="Y68" s="26" t="s">
        <v>50</v>
      </c>
      <c r="Z68" s="23"/>
      <c r="AA68" s="26" t="s">
        <v>50</v>
      </c>
      <c r="AB68" s="41">
        <f t="shared" si="7"/>
        <v>0</v>
      </c>
      <c r="AC68" s="23">
        <v>1</v>
      </c>
      <c r="AD68" s="23" t="s">
        <v>97</v>
      </c>
      <c r="AE68" s="24">
        <v>42277</v>
      </c>
      <c r="AF68" s="23" t="s">
        <v>92</v>
      </c>
      <c r="AG68" s="23">
        <f t="shared" si="8"/>
        <v>0</v>
      </c>
      <c r="AH68" s="23"/>
      <c r="AI68" s="27" t="str">
        <f t="shared" si="9"/>
        <v>P20</v>
      </c>
      <c r="AJ68" s="23"/>
      <c r="AK68" s="23"/>
      <c r="AL68" s="26" t="s">
        <v>50</v>
      </c>
      <c r="AM68" s="28" t="s">
        <v>58</v>
      </c>
    </row>
    <row r="69" spans="2:39" x14ac:dyDescent="0.3">
      <c r="B69" s="32"/>
      <c r="C69" s="6"/>
      <c r="F69" s="6"/>
      <c r="G69" s="5"/>
      <c r="H69" s="5"/>
      <c r="N69" s="23"/>
      <c r="O69" s="25"/>
      <c r="P69" s="23"/>
      <c r="Q69" s="23"/>
      <c r="R69" s="26" t="s">
        <v>50</v>
      </c>
      <c r="S69" s="23"/>
      <c r="T69" s="26" t="s">
        <v>50</v>
      </c>
      <c r="U69" s="27" t="s">
        <v>95</v>
      </c>
      <c r="V69" s="40">
        <f t="shared" si="5"/>
        <v>0</v>
      </c>
      <c r="W69" s="40">
        <f t="shared" si="6"/>
        <v>0</v>
      </c>
      <c r="X69" s="23" t="s">
        <v>92</v>
      </c>
      <c r="Y69" s="26" t="s">
        <v>50</v>
      </c>
      <c r="Z69" s="23"/>
      <c r="AA69" s="26" t="s">
        <v>50</v>
      </c>
      <c r="AB69" s="41">
        <f t="shared" si="7"/>
        <v>0</v>
      </c>
      <c r="AC69" s="23">
        <v>1</v>
      </c>
      <c r="AD69" s="23" t="s">
        <v>97</v>
      </c>
      <c r="AE69" s="24">
        <v>42277</v>
      </c>
      <c r="AF69" s="23" t="s">
        <v>92</v>
      </c>
      <c r="AG69" s="23">
        <f t="shared" si="8"/>
        <v>0</v>
      </c>
      <c r="AH69" s="23"/>
      <c r="AI69" s="27" t="str">
        <f t="shared" si="9"/>
        <v>P20</v>
      </c>
      <c r="AJ69" s="23"/>
      <c r="AK69" s="23"/>
      <c r="AL69" s="26" t="s">
        <v>50</v>
      </c>
      <c r="AM69" s="28" t="s">
        <v>58</v>
      </c>
    </row>
    <row r="70" spans="2:39" x14ac:dyDescent="0.3">
      <c r="B70" s="32"/>
      <c r="C70" s="6"/>
      <c r="F70" s="6"/>
      <c r="G70" s="5"/>
      <c r="H70" s="5"/>
      <c r="N70" s="23"/>
      <c r="O70" s="25"/>
      <c r="P70" s="23"/>
      <c r="Q70" s="23"/>
      <c r="R70" s="26" t="s">
        <v>50</v>
      </c>
      <c r="S70" s="23"/>
      <c r="T70" s="26" t="s">
        <v>50</v>
      </c>
      <c r="U70" s="27" t="s">
        <v>95</v>
      </c>
      <c r="V70" s="40">
        <f t="shared" si="5"/>
        <v>0</v>
      </c>
      <c r="W70" s="40">
        <f t="shared" si="6"/>
        <v>0</v>
      </c>
      <c r="X70" s="23" t="s">
        <v>92</v>
      </c>
      <c r="Y70" s="26" t="s">
        <v>50</v>
      </c>
      <c r="Z70" s="23"/>
      <c r="AA70" s="26" t="s">
        <v>50</v>
      </c>
      <c r="AB70" s="41">
        <f t="shared" si="7"/>
        <v>0</v>
      </c>
      <c r="AC70" s="23">
        <v>1</v>
      </c>
      <c r="AD70" s="23" t="s">
        <v>97</v>
      </c>
      <c r="AE70" s="24">
        <v>42277</v>
      </c>
      <c r="AF70" s="23" t="s">
        <v>92</v>
      </c>
      <c r="AG70" s="23">
        <f t="shared" si="8"/>
        <v>0</v>
      </c>
      <c r="AH70" s="23"/>
      <c r="AI70" s="27" t="str">
        <f t="shared" si="9"/>
        <v>P20</v>
      </c>
      <c r="AJ70" s="23"/>
      <c r="AK70" s="23"/>
      <c r="AL70" s="26" t="s">
        <v>50</v>
      </c>
      <c r="AM70" s="28" t="s">
        <v>58</v>
      </c>
    </row>
    <row r="71" spans="2:39" x14ac:dyDescent="0.3">
      <c r="B71" s="32"/>
      <c r="C71" s="6"/>
      <c r="F71" s="6"/>
      <c r="G71" s="5"/>
      <c r="H71" s="5"/>
      <c r="N71" s="23"/>
      <c r="O71" s="25"/>
      <c r="P71" s="23"/>
      <c r="Q71" s="23"/>
      <c r="R71" s="26" t="s">
        <v>50</v>
      </c>
      <c r="S71" s="23"/>
      <c r="T71" s="26" t="s">
        <v>50</v>
      </c>
      <c r="U71" s="27" t="s">
        <v>95</v>
      </c>
      <c r="V71" s="40">
        <f t="shared" si="5"/>
        <v>0</v>
      </c>
      <c r="W71" s="40">
        <f t="shared" si="6"/>
        <v>0</v>
      </c>
      <c r="X71" s="23" t="s">
        <v>92</v>
      </c>
      <c r="Y71" s="26" t="s">
        <v>50</v>
      </c>
      <c r="Z71" s="23"/>
      <c r="AA71" s="26" t="s">
        <v>50</v>
      </c>
      <c r="AB71" s="41">
        <f t="shared" si="7"/>
        <v>0</v>
      </c>
      <c r="AC71" s="23">
        <v>1</v>
      </c>
      <c r="AD71" s="23" t="s">
        <v>97</v>
      </c>
      <c r="AE71" s="24">
        <v>42277</v>
      </c>
      <c r="AF71" s="23" t="s">
        <v>92</v>
      </c>
      <c r="AG71" s="23">
        <f t="shared" si="8"/>
        <v>0</v>
      </c>
      <c r="AH71" s="23"/>
      <c r="AI71" s="27" t="str">
        <f t="shared" si="9"/>
        <v>P20</v>
      </c>
      <c r="AJ71" s="23"/>
      <c r="AK71" s="23"/>
      <c r="AL71" s="26" t="s">
        <v>50</v>
      </c>
      <c r="AM71" s="28" t="s">
        <v>58</v>
      </c>
    </row>
    <row r="72" spans="2:39" x14ac:dyDescent="0.3">
      <c r="B72" s="32"/>
      <c r="C72" s="6"/>
      <c r="F72" s="6"/>
      <c r="G72" s="5"/>
      <c r="H72" s="5"/>
      <c r="N72" s="23"/>
      <c r="O72" s="25"/>
      <c r="P72" s="23"/>
      <c r="Q72" s="23"/>
      <c r="R72" s="26" t="s">
        <v>50</v>
      </c>
      <c r="S72" s="23"/>
      <c r="T72" s="26" t="s">
        <v>50</v>
      </c>
      <c r="U72" s="27" t="s">
        <v>95</v>
      </c>
      <c r="V72" s="40">
        <f t="shared" si="5"/>
        <v>0</v>
      </c>
      <c r="W72" s="40">
        <f t="shared" si="6"/>
        <v>0</v>
      </c>
      <c r="X72" s="23" t="s">
        <v>92</v>
      </c>
      <c r="Y72" s="26" t="s">
        <v>50</v>
      </c>
      <c r="Z72" s="23"/>
      <c r="AA72" s="26" t="s">
        <v>50</v>
      </c>
      <c r="AB72" s="41">
        <f t="shared" si="7"/>
        <v>0</v>
      </c>
      <c r="AC72" s="23">
        <v>1</v>
      </c>
      <c r="AD72" s="23" t="s">
        <v>97</v>
      </c>
      <c r="AE72" s="24">
        <v>42277</v>
      </c>
      <c r="AF72" s="23" t="s">
        <v>92</v>
      </c>
      <c r="AG72" s="23">
        <f t="shared" si="8"/>
        <v>0</v>
      </c>
      <c r="AH72" s="23"/>
      <c r="AI72" s="27" t="str">
        <f t="shared" si="9"/>
        <v>P20</v>
      </c>
      <c r="AJ72" s="23"/>
      <c r="AK72" s="23"/>
      <c r="AL72" s="26" t="s">
        <v>50</v>
      </c>
      <c r="AM72" s="28" t="s">
        <v>58</v>
      </c>
    </row>
    <row r="73" spans="2:39" x14ac:dyDescent="0.3">
      <c r="B73" s="32"/>
      <c r="C73" s="6"/>
      <c r="F73" s="6"/>
      <c r="G73" s="5"/>
      <c r="H73" s="5"/>
      <c r="N73" s="23"/>
      <c r="O73" s="25"/>
      <c r="P73" s="23"/>
      <c r="Q73" s="23"/>
      <c r="R73" s="26" t="s">
        <v>50</v>
      </c>
      <c r="S73" s="23"/>
      <c r="T73" s="26" t="s">
        <v>50</v>
      </c>
      <c r="U73" s="27" t="s">
        <v>95</v>
      </c>
      <c r="V73" s="40">
        <f t="shared" si="5"/>
        <v>0</v>
      </c>
      <c r="W73" s="40">
        <f t="shared" si="6"/>
        <v>0</v>
      </c>
      <c r="X73" s="23" t="s">
        <v>92</v>
      </c>
      <c r="Y73" s="26" t="s">
        <v>50</v>
      </c>
      <c r="Z73" s="23"/>
      <c r="AA73" s="26" t="s">
        <v>50</v>
      </c>
      <c r="AB73" s="41">
        <f t="shared" si="7"/>
        <v>0</v>
      </c>
      <c r="AC73" s="23">
        <v>1</v>
      </c>
      <c r="AD73" s="23" t="s">
        <v>97</v>
      </c>
      <c r="AE73" s="24">
        <v>42277</v>
      </c>
      <c r="AF73" s="23" t="s">
        <v>92</v>
      </c>
      <c r="AG73" s="23">
        <f t="shared" si="8"/>
        <v>0</v>
      </c>
      <c r="AH73" s="23"/>
      <c r="AI73" s="27" t="str">
        <f t="shared" si="9"/>
        <v>P20</v>
      </c>
      <c r="AJ73" s="23"/>
      <c r="AK73" s="23"/>
      <c r="AL73" s="26" t="s">
        <v>50</v>
      </c>
      <c r="AM73" s="28" t="s">
        <v>58</v>
      </c>
    </row>
    <row r="74" spans="2:39" x14ac:dyDescent="0.3">
      <c r="B74" s="32"/>
      <c r="C74" s="6"/>
      <c r="F74" s="6"/>
      <c r="G74" s="5"/>
      <c r="H74" s="5"/>
      <c r="N74" s="23"/>
      <c r="O74" s="25"/>
      <c r="P74" s="23"/>
      <c r="Q74" s="23"/>
      <c r="R74" s="26" t="s">
        <v>50</v>
      </c>
      <c r="S74" s="23"/>
      <c r="T74" s="26" t="s">
        <v>50</v>
      </c>
      <c r="U74" s="27" t="s">
        <v>95</v>
      </c>
      <c r="V74" s="40">
        <f t="shared" si="5"/>
        <v>0</v>
      </c>
      <c r="W74" s="40">
        <f t="shared" si="6"/>
        <v>0</v>
      </c>
      <c r="X74" s="23" t="s">
        <v>92</v>
      </c>
      <c r="Y74" s="26" t="s">
        <v>50</v>
      </c>
      <c r="Z74" s="23"/>
      <c r="AA74" s="26" t="s">
        <v>50</v>
      </c>
      <c r="AB74" s="41">
        <f t="shared" si="7"/>
        <v>0</v>
      </c>
      <c r="AC74" s="23">
        <v>1</v>
      </c>
      <c r="AD74" s="23" t="s">
        <v>97</v>
      </c>
      <c r="AE74" s="24">
        <v>42277</v>
      </c>
      <c r="AF74" s="23" t="s">
        <v>92</v>
      </c>
      <c r="AG74" s="23">
        <f t="shared" si="8"/>
        <v>0</v>
      </c>
      <c r="AH74" s="23"/>
      <c r="AI74" s="27" t="str">
        <f t="shared" si="9"/>
        <v>P20</v>
      </c>
      <c r="AJ74" s="23"/>
      <c r="AK74" s="23"/>
      <c r="AL74" s="26" t="s">
        <v>50</v>
      </c>
      <c r="AM74" s="28" t="s">
        <v>58</v>
      </c>
    </row>
    <row r="75" spans="2:39" x14ac:dyDescent="0.3">
      <c r="B75" s="32"/>
      <c r="C75" s="6"/>
      <c r="F75" s="6"/>
      <c r="G75" s="5"/>
      <c r="H75" s="5"/>
      <c r="N75" s="23"/>
      <c r="O75" s="25"/>
      <c r="P75" s="23"/>
      <c r="Q75" s="23"/>
      <c r="R75" s="26" t="s">
        <v>50</v>
      </c>
      <c r="S75" s="23"/>
      <c r="T75" s="26" t="s">
        <v>50</v>
      </c>
      <c r="U75" s="27" t="s">
        <v>95</v>
      </c>
      <c r="V75" s="40">
        <f t="shared" si="5"/>
        <v>0</v>
      </c>
      <c r="W75" s="40">
        <f t="shared" si="6"/>
        <v>0</v>
      </c>
      <c r="X75" s="23" t="s">
        <v>92</v>
      </c>
      <c r="Y75" s="26" t="s">
        <v>50</v>
      </c>
      <c r="Z75" s="23"/>
      <c r="AA75" s="26" t="s">
        <v>50</v>
      </c>
      <c r="AB75" s="41">
        <f t="shared" si="7"/>
        <v>0</v>
      </c>
      <c r="AC75" s="23">
        <v>1</v>
      </c>
      <c r="AD75" s="23" t="s">
        <v>97</v>
      </c>
      <c r="AE75" s="24">
        <v>42277</v>
      </c>
      <c r="AF75" s="23" t="s">
        <v>92</v>
      </c>
      <c r="AG75" s="23">
        <f t="shared" si="8"/>
        <v>0</v>
      </c>
      <c r="AH75" s="23"/>
      <c r="AI75" s="27" t="str">
        <f t="shared" si="9"/>
        <v>P20</v>
      </c>
      <c r="AJ75" s="23"/>
      <c r="AK75" s="23"/>
      <c r="AL75" s="26" t="s">
        <v>50</v>
      </c>
      <c r="AM75" s="28" t="s">
        <v>58</v>
      </c>
    </row>
    <row r="76" spans="2:39" x14ac:dyDescent="0.3">
      <c r="B76" s="32"/>
      <c r="C76" s="6"/>
      <c r="F76" s="6"/>
      <c r="G76" s="5"/>
      <c r="H76" s="5"/>
      <c r="N76" s="23"/>
      <c r="O76" s="25"/>
      <c r="P76" s="23"/>
      <c r="Q76" s="23"/>
      <c r="R76" s="26" t="s">
        <v>50</v>
      </c>
      <c r="S76" s="23"/>
      <c r="T76" s="26" t="s">
        <v>50</v>
      </c>
      <c r="U76" s="27" t="s">
        <v>95</v>
      </c>
      <c r="V76" s="40">
        <f t="shared" si="5"/>
        <v>0</v>
      </c>
      <c r="W76" s="40">
        <f t="shared" si="6"/>
        <v>0</v>
      </c>
      <c r="X76" s="23" t="s">
        <v>92</v>
      </c>
      <c r="Y76" s="26" t="s">
        <v>50</v>
      </c>
      <c r="Z76" s="23"/>
      <c r="AA76" s="26" t="s">
        <v>50</v>
      </c>
      <c r="AB76" s="41">
        <f t="shared" si="7"/>
        <v>0</v>
      </c>
      <c r="AC76" s="23">
        <v>1</v>
      </c>
      <c r="AD76" s="23" t="s">
        <v>97</v>
      </c>
      <c r="AE76" s="24">
        <v>42277</v>
      </c>
      <c r="AF76" s="23" t="s">
        <v>92</v>
      </c>
      <c r="AG76" s="23">
        <f t="shared" si="8"/>
        <v>0</v>
      </c>
      <c r="AH76" s="23"/>
      <c r="AI76" s="27" t="str">
        <f t="shared" si="9"/>
        <v>P20</v>
      </c>
      <c r="AJ76" s="23"/>
      <c r="AK76" s="23"/>
      <c r="AL76" s="26" t="s">
        <v>50</v>
      </c>
      <c r="AM76" s="28" t="s">
        <v>58</v>
      </c>
    </row>
    <row r="77" spans="2:39" x14ac:dyDescent="0.3">
      <c r="B77" s="32"/>
      <c r="C77" s="6"/>
      <c r="F77" s="6"/>
      <c r="G77" s="5"/>
      <c r="H77" s="5"/>
      <c r="N77" s="23"/>
      <c r="O77" s="25"/>
      <c r="P77" s="23"/>
      <c r="Q77" s="23"/>
      <c r="R77" s="26" t="s">
        <v>50</v>
      </c>
      <c r="S77" s="23"/>
      <c r="T77" s="26" t="s">
        <v>50</v>
      </c>
      <c r="U77" s="27" t="s">
        <v>95</v>
      </c>
      <c r="V77" s="40">
        <f t="shared" si="5"/>
        <v>0</v>
      </c>
      <c r="W77" s="40">
        <f t="shared" si="6"/>
        <v>0</v>
      </c>
      <c r="X77" s="23" t="s">
        <v>92</v>
      </c>
      <c r="Y77" s="26" t="s">
        <v>50</v>
      </c>
      <c r="Z77" s="23"/>
      <c r="AA77" s="26" t="s">
        <v>50</v>
      </c>
      <c r="AB77" s="41">
        <f t="shared" si="7"/>
        <v>0</v>
      </c>
      <c r="AC77" s="23">
        <v>1</v>
      </c>
      <c r="AD77" s="23" t="s">
        <v>97</v>
      </c>
      <c r="AE77" s="24">
        <v>42277</v>
      </c>
      <c r="AF77" s="23" t="s">
        <v>92</v>
      </c>
      <c r="AG77" s="23">
        <f t="shared" si="8"/>
        <v>0</v>
      </c>
      <c r="AH77" s="23"/>
      <c r="AI77" s="27" t="str">
        <f t="shared" si="9"/>
        <v>P20</v>
      </c>
      <c r="AJ77" s="23"/>
      <c r="AK77" s="23"/>
      <c r="AL77" s="26" t="s">
        <v>50</v>
      </c>
      <c r="AM77" s="28" t="s">
        <v>58</v>
      </c>
    </row>
    <row r="78" spans="2:39" x14ac:dyDescent="0.3">
      <c r="B78" s="32"/>
      <c r="C78" s="6"/>
      <c r="F78" s="6"/>
      <c r="G78" s="5"/>
      <c r="H78" s="5"/>
      <c r="N78" s="23"/>
      <c r="O78" s="25"/>
      <c r="P78" s="23"/>
      <c r="Q78" s="23"/>
      <c r="R78" s="26" t="s">
        <v>50</v>
      </c>
      <c r="S78" s="23"/>
      <c r="T78" s="26" t="s">
        <v>50</v>
      </c>
      <c r="U78" s="27" t="s">
        <v>95</v>
      </c>
      <c r="V78" s="40">
        <f t="shared" si="5"/>
        <v>0</v>
      </c>
      <c r="W78" s="40">
        <f t="shared" si="6"/>
        <v>0</v>
      </c>
      <c r="X78" s="23" t="s">
        <v>92</v>
      </c>
      <c r="Y78" s="26" t="s">
        <v>50</v>
      </c>
      <c r="Z78" s="23"/>
      <c r="AA78" s="26" t="s">
        <v>50</v>
      </c>
      <c r="AB78" s="41">
        <f t="shared" si="7"/>
        <v>0</v>
      </c>
      <c r="AC78" s="23">
        <v>1</v>
      </c>
      <c r="AD78" s="23" t="s">
        <v>97</v>
      </c>
      <c r="AE78" s="24">
        <v>42277</v>
      </c>
      <c r="AF78" s="23" t="s">
        <v>92</v>
      </c>
      <c r="AG78" s="23">
        <f t="shared" si="8"/>
        <v>0</v>
      </c>
      <c r="AH78" s="23"/>
      <c r="AI78" s="27" t="str">
        <f t="shared" si="9"/>
        <v>P20</v>
      </c>
      <c r="AJ78" s="23"/>
      <c r="AK78" s="23"/>
      <c r="AL78" s="26" t="s">
        <v>50</v>
      </c>
      <c r="AM78" s="28" t="s">
        <v>58</v>
      </c>
    </row>
    <row r="79" spans="2:39" x14ac:dyDescent="0.3">
      <c r="B79" s="32"/>
      <c r="C79" s="6"/>
      <c r="F79" s="6"/>
      <c r="G79" s="5"/>
      <c r="H79" s="5"/>
      <c r="N79" s="23"/>
      <c r="O79" s="25"/>
      <c r="P79" s="23"/>
      <c r="Q79" s="23"/>
      <c r="R79" s="26" t="s">
        <v>50</v>
      </c>
      <c r="S79" s="23"/>
      <c r="T79" s="26" t="s">
        <v>50</v>
      </c>
      <c r="U79" s="27" t="s">
        <v>95</v>
      </c>
      <c r="V79" s="40">
        <f t="shared" si="5"/>
        <v>0</v>
      </c>
      <c r="W79" s="40">
        <f t="shared" si="6"/>
        <v>0</v>
      </c>
      <c r="X79" s="23" t="s">
        <v>92</v>
      </c>
      <c r="Y79" s="26" t="s">
        <v>50</v>
      </c>
      <c r="Z79" s="23"/>
      <c r="AA79" s="26" t="s">
        <v>50</v>
      </c>
      <c r="AB79" s="41">
        <f t="shared" si="7"/>
        <v>0</v>
      </c>
      <c r="AC79" s="23">
        <v>1</v>
      </c>
      <c r="AD79" s="23" t="s">
        <v>97</v>
      </c>
      <c r="AE79" s="24">
        <v>42277</v>
      </c>
      <c r="AF79" s="23" t="s">
        <v>92</v>
      </c>
      <c r="AG79" s="23">
        <f t="shared" si="8"/>
        <v>0</v>
      </c>
      <c r="AH79" s="23"/>
      <c r="AI79" s="27" t="str">
        <f t="shared" si="9"/>
        <v>P20</v>
      </c>
      <c r="AJ79" s="23"/>
      <c r="AK79" s="23"/>
      <c r="AL79" s="26" t="s">
        <v>50</v>
      </c>
      <c r="AM79" s="28" t="s">
        <v>58</v>
      </c>
    </row>
    <row r="80" spans="2:39" x14ac:dyDescent="0.3">
      <c r="B80" s="32"/>
      <c r="C80" s="6"/>
      <c r="F80" s="6"/>
      <c r="G80" s="5"/>
      <c r="H80" s="5"/>
      <c r="N80" s="23"/>
      <c r="O80" s="25"/>
      <c r="P80" s="23"/>
      <c r="Q80" s="23"/>
      <c r="R80" s="26" t="s">
        <v>50</v>
      </c>
      <c r="S80" s="23"/>
      <c r="T80" s="26" t="s">
        <v>50</v>
      </c>
      <c r="U80" s="27" t="s">
        <v>95</v>
      </c>
      <c r="V80" s="40">
        <f t="shared" si="5"/>
        <v>0</v>
      </c>
      <c r="W80" s="40">
        <f t="shared" si="6"/>
        <v>0</v>
      </c>
      <c r="X80" s="23" t="s">
        <v>92</v>
      </c>
      <c r="Y80" s="26" t="s">
        <v>50</v>
      </c>
      <c r="Z80" s="23"/>
      <c r="AA80" s="26" t="s">
        <v>50</v>
      </c>
      <c r="AB80" s="41">
        <f t="shared" si="7"/>
        <v>0</v>
      </c>
      <c r="AC80" s="23">
        <v>1</v>
      </c>
      <c r="AD80" s="23" t="s">
        <v>97</v>
      </c>
      <c r="AE80" s="24">
        <v>42277</v>
      </c>
      <c r="AF80" s="23" t="s">
        <v>92</v>
      </c>
      <c r="AG80" s="23">
        <f t="shared" si="8"/>
        <v>0</v>
      </c>
      <c r="AH80" s="23"/>
      <c r="AI80" s="27" t="str">
        <f t="shared" si="9"/>
        <v>P20</v>
      </c>
      <c r="AJ80" s="23"/>
      <c r="AK80" s="23"/>
      <c r="AL80" s="26" t="s">
        <v>50</v>
      </c>
      <c r="AM80" s="28" t="s">
        <v>58</v>
      </c>
    </row>
    <row r="81" spans="2:39" x14ac:dyDescent="0.3">
      <c r="B81" s="32"/>
      <c r="C81" s="6"/>
      <c r="F81" s="6"/>
      <c r="G81" s="5"/>
      <c r="H81" s="5"/>
      <c r="N81" s="23"/>
      <c r="O81" s="25"/>
      <c r="P81" s="23"/>
      <c r="Q81" s="23"/>
      <c r="R81" s="26" t="s">
        <v>50</v>
      </c>
      <c r="S81" s="23"/>
      <c r="T81" s="26" t="s">
        <v>50</v>
      </c>
      <c r="U81" s="27" t="s">
        <v>95</v>
      </c>
      <c r="V81" s="40">
        <f t="shared" si="5"/>
        <v>0</v>
      </c>
      <c r="W81" s="40">
        <f t="shared" si="6"/>
        <v>0</v>
      </c>
      <c r="X81" s="23" t="s">
        <v>92</v>
      </c>
      <c r="Y81" s="26" t="s">
        <v>50</v>
      </c>
      <c r="Z81" s="23"/>
      <c r="AA81" s="26" t="s">
        <v>50</v>
      </c>
      <c r="AB81" s="41">
        <f t="shared" si="7"/>
        <v>0</v>
      </c>
      <c r="AC81" s="23">
        <v>1</v>
      </c>
      <c r="AD81" s="23" t="s">
        <v>97</v>
      </c>
      <c r="AE81" s="24">
        <v>42277</v>
      </c>
      <c r="AF81" s="23" t="s">
        <v>92</v>
      </c>
      <c r="AG81" s="23">
        <f t="shared" si="8"/>
        <v>0</v>
      </c>
      <c r="AH81" s="23"/>
      <c r="AI81" s="27" t="str">
        <f t="shared" si="9"/>
        <v>P20</v>
      </c>
      <c r="AJ81" s="23"/>
      <c r="AK81" s="23"/>
      <c r="AL81" s="26" t="s">
        <v>50</v>
      </c>
      <c r="AM81" s="28" t="s">
        <v>58</v>
      </c>
    </row>
    <row r="82" spans="2:39" x14ac:dyDescent="0.3">
      <c r="B82" s="32"/>
      <c r="C82" s="6"/>
      <c r="F82" s="6"/>
      <c r="G82" s="5"/>
      <c r="H82" s="5"/>
      <c r="N82" s="23"/>
      <c r="O82" s="25"/>
      <c r="P82" s="23"/>
      <c r="Q82" s="23"/>
      <c r="R82" s="26" t="s">
        <v>50</v>
      </c>
      <c r="S82" s="23"/>
      <c r="T82" s="26" t="s">
        <v>50</v>
      </c>
      <c r="U82" s="27" t="s">
        <v>95</v>
      </c>
      <c r="V82" s="40">
        <f t="shared" si="5"/>
        <v>0</v>
      </c>
      <c r="W82" s="40">
        <f t="shared" si="6"/>
        <v>0</v>
      </c>
      <c r="X82" s="23" t="s">
        <v>92</v>
      </c>
      <c r="Y82" s="26" t="s">
        <v>50</v>
      </c>
      <c r="Z82" s="23"/>
      <c r="AA82" s="26" t="s">
        <v>50</v>
      </c>
      <c r="AB82" s="41">
        <f t="shared" si="7"/>
        <v>0</v>
      </c>
      <c r="AC82" s="23">
        <v>1</v>
      </c>
      <c r="AD82" s="23" t="s">
        <v>97</v>
      </c>
      <c r="AE82" s="24">
        <v>42277</v>
      </c>
      <c r="AF82" s="23" t="s">
        <v>92</v>
      </c>
      <c r="AG82" s="23">
        <f t="shared" si="8"/>
        <v>0</v>
      </c>
      <c r="AH82" s="23"/>
      <c r="AI82" s="27" t="str">
        <f t="shared" si="9"/>
        <v>P20</v>
      </c>
      <c r="AJ82" s="23"/>
      <c r="AK82" s="23"/>
      <c r="AL82" s="26" t="s">
        <v>50</v>
      </c>
      <c r="AM82" s="28" t="s">
        <v>58</v>
      </c>
    </row>
    <row r="83" spans="2:39" x14ac:dyDescent="0.3">
      <c r="B83" s="32"/>
      <c r="C83" s="6"/>
      <c r="F83" s="6"/>
      <c r="G83" s="5"/>
      <c r="H83" s="5"/>
      <c r="N83" s="23"/>
      <c r="O83" s="25"/>
      <c r="P83" s="23"/>
      <c r="Q83" s="23"/>
      <c r="R83" s="26" t="s">
        <v>50</v>
      </c>
      <c r="S83" s="23"/>
      <c r="T83" s="26" t="s">
        <v>50</v>
      </c>
      <c r="U83" s="27" t="s">
        <v>95</v>
      </c>
      <c r="V83" s="40">
        <f t="shared" si="5"/>
        <v>0</v>
      </c>
      <c r="W83" s="40">
        <f t="shared" si="6"/>
        <v>0</v>
      </c>
      <c r="X83" s="23" t="s">
        <v>92</v>
      </c>
      <c r="Y83" s="26" t="s">
        <v>50</v>
      </c>
      <c r="Z83" s="23"/>
      <c r="AA83" s="26" t="s">
        <v>50</v>
      </c>
      <c r="AB83" s="41">
        <f t="shared" si="7"/>
        <v>0</v>
      </c>
      <c r="AC83" s="23">
        <v>1</v>
      </c>
      <c r="AD83" s="23" t="s">
        <v>97</v>
      </c>
      <c r="AE83" s="24">
        <v>42277</v>
      </c>
      <c r="AF83" s="23" t="s">
        <v>92</v>
      </c>
      <c r="AG83" s="23">
        <f t="shared" si="8"/>
        <v>0</v>
      </c>
      <c r="AH83" s="23"/>
      <c r="AI83" s="27" t="str">
        <f t="shared" si="9"/>
        <v>P20</v>
      </c>
      <c r="AJ83" s="23"/>
      <c r="AK83" s="23"/>
      <c r="AL83" s="26" t="s">
        <v>50</v>
      </c>
      <c r="AM83" s="28" t="s">
        <v>58</v>
      </c>
    </row>
    <row r="84" spans="2:39" x14ac:dyDescent="0.3">
      <c r="B84" s="32"/>
      <c r="C84" s="6"/>
      <c r="F84" s="6"/>
      <c r="G84" s="5"/>
      <c r="H84" s="5"/>
      <c r="N84" s="23"/>
      <c r="O84" s="25"/>
      <c r="P84" s="23"/>
      <c r="Q84" s="23"/>
      <c r="R84" s="26" t="s">
        <v>50</v>
      </c>
      <c r="S84" s="23"/>
      <c r="T84" s="26" t="s">
        <v>50</v>
      </c>
      <c r="U84" s="27" t="s">
        <v>95</v>
      </c>
      <c r="V84" s="40">
        <f t="shared" si="5"/>
        <v>0</v>
      </c>
      <c r="W84" s="40">
        <f t="shared" si="6"/>
        <v>0</v>
      </c>
      <c r="X84" s="23" t="s">
        <v>92</v>
      </c>
      <c r="Y84" s="26" t="s">
        <v>50</v>
      </c>
      <c r="Z84" s="23"/>
      <c r="AA84" s="26" t="s">
        <v>50</v>
      </c>
      <c r="AB84" s="41">
        <f t="shared" si="7"/>
        <v>0</v>
      </c>
      <c r="AC84" s="23">
        <v>1</v>
      </c>
      <c r="AD84" s="23" t="s">
        <v>97</v>
      </c>
      <c r="AE84" s="24">
        <v>42277</v>
      </c>
      <c r="AF84" s="23" t="s">
        <v>92</v>
      </c>
      <c r="AG84" s="23">
        <f t="shared" si="8"/>
        <v>0</v>
      </c>
      <c r="AH84" s="23"/>
      <c r="AI84" s="27" t="str">
        <f t="shared" si="9"/>
        <v>P20</v>
      </c>
      <c r="AJ84" s="23"/>
      <c r="AK84" s="23"/>
      <c r="AL84" s="26" t="s">
        <v>50</v>
      </c>
      <c r="AM84" s="28" t="s">
        <v>58</v>
      </c>
    </row>
    <row r="85" spans="2:39" x14ac:dyDescent="0.3">
      <c r="B85" s="32"/>
      <c r="C85" s="6"/>
      <c r="F85" s="6"/>
      <c r="G85" s="5"/>
      <c r="H85" s="5"/>
      <c r="N85" s="23"/>
      <c r="O85" s="25"/>
      <c r="P85" s="23"/>
      <c r="Q85" s="23"/>
      <c r="R85" s="26" t="s">
        <v>50</v>
      </c>
      <c r="S85" s="23"/>
      <c r="T85" s="26" t="s">
        <v>50</v>
      </c>
      <c r="U85" s="27" t="s">
        <v>95</v>
      </c>
      <c r="V85" s="40">
        <f t="shared" si="5"/>
        <v>0</v>
      </c>
      <c r="W85" s="40">
        <f t="shared" si="6"/>
        <v>0</v>
      </c>
      <c r="X85" s="23" t="s">
        <v>92</v>
      </c>
      <c r="Y85" s="26" t="s">
        <v>50</v>
      </c>
      <c r="Z85" s="23"/>
      <c r="AA85" s="26" t="s">
        <v>50</v>
      </c>
      <c r="AB85" s="41">
        <f t="shared" si="7"/>
        <v>0</v>
      </c>
      <c r="AC85" s="23">
        <v>1</v>
      </c>
      <c r="AD85" s="23" t="s">
        <v>97</v>
      </c>
      <c r="AE85" s="24">
        <v>42277</v>
      </c>
      <c r="AF85" s="23" t="s">
        <v>92</v>
      </c>
      <c r="AG85" s="23">
        <f t="shared" si="8"/>
        <v>0</v>
      </c>
      <c r="AH85" s="23"/>
      <c r="AI85" s="27" t="str">
        <f t="shared" si="9"/>
        <v>P20</v>
      </c>
      <c r="AJ85" s="23"/>
      <c r="AK85" s="23"/>
      <c r="AL85" s="26" t="s">
        <v>50</v>
      </c>
      <c r="AM85" s="28" t="s">
        <v>58</v>
      </c>
    </row>
    <row r="86" spans="2:39" x14ac:dyDescent="0.3">
      <c r="B86" s="32"/>
      <c r="C86" s="6"/>
      <c r="F86" s="6"/>
      <c r="G86" s="5"/>
      <c r="H86" s="5"/>
      <c r="N86" s="23"/>
      <c r="O86" s="25"/>
      <c r="P86" s="23"/>
      <c r="Q86" s="23"/>
      <c r="R86" s="26" t="s">
        <v>50</v>
      </c>
      <c r="S86" s="23"/>
      <c r="T86" s="26" t="s">
        <v>50</v>
      </c>
      <c r="U86" s="27" t="s">
        <v>95</v>
      </c>
      <c r="V86" s="40">
        <f t="shared" si="5"/>
        <v>0</v>
      </c>
      <c r="W86" s="40">
        <f t="shared" si="6"/>
        <v>0</v>
      </c>
      <c r="X86" s="23" t="s">
        <v>92</v>
      </c>
      <c r="Y86" s="26" t="s">
        <v>50</v>
      </c>
      <c r="Z86" s="23"/>
      <c r="AA86" s="26" t="s">
        <v>50</v>
      </c>
      <c r="AB86" s="41">
        <f t="shared" si="7"/>
        <v>0</v>
      </c>
      <c r="AC86" s="23">
        <v>1</v>
      </c>
      <c r="AD86" s="23" t="s">
        <v>97</v>
      </c>
      <c r="AE86" s="24">
        <v>42277</v>
      </c>
      <c r="AF86" s="23" t="s">
        <v>92</v>
      </c>
      <c r="AG86" s="23">
        <f t="shared" si="8"/>
        <v>0</v>
      </c>
      <c r="AH86" s="23"/>
      <c r="AI86" s="27" t="str">
        <f t="shared" si="9"/>
        <v>P20</v>
      </c>
      <c r="AJ86" s="23"/>
      <c r="AK86" s="23"/>
      <c r="AL86" s="26" t="s">
        <v>50</v>
      </c>
      <c r="AM86" s="28" t="s">
        <v>58</v>
      </c>
    </row>
    <row r="87" spans="2:39" x14ac:dyDescent="0.3">
      <c r="B87" s="32"/>
      <c r="C87" s="6"/>
      <c r="F87" s="6"/>
      <c r="G87" s="5"/>
      <c r="H87" s="5"/>
      <c r="N87" s="23"/>
      <c r="O87" s="25"/>
      <c r="P87" s="23"/>
      <c r="Q87" s="23"/>
      <c r="R87" s="26" t="s">
        <v>50</v>
      </c>
      <c r="S87" s="23"/>
      <c r="T87" s="26" t="s">
        <v>50</v>
      </c>
      <c r="U87" s="27" t="s">
        <v>95</v>
      </c>
      <c r="V87" s="40">
        <f t="shared" si="5"/>
        <v>0</v>
      </c>
      <c r="W87" s="40">
        <f t="shared" si="6"/>
        <v>0</v>
      </c>
      <c r="X87" s="23" t="s">
        <v>92</v>
      </c>
      <c r="Y87" s="26" t="s">
        <v>50</v>
      </c>
      <c r="Z87" s="23"/>
      <c r="AA87" s="26" t="s">
        <v>50</v>
      </c>
      <c r="AB87" s="41">
        <f t="shared" si="7"/>
        <v>0</v>
      </c>
      <c r="AC87" s="23">
        <v>1</v>
      </c>
      <c r="AD87" s="23" t="s">
        <v>97</v>
      </c>
      <c r="AE87" s="24">
        <v>42277</v>
      </c>
      <c r="AF87" s="23" t="s">
        <v>92</v>
      </c>
      <c r="AG87" s="23">
        <f t="shared" si="8"/>
        <v>0</v>
      </c>
      <c r="AH87" s="23"/>
      <c r="AI87" s="27" t="str">
        <f t="shared" si="9"/>
        <v>P20</v>
      </c>
      <c r="AJ87" s="23"/>
      <c r="AK87" s="23"/>
      <c r="AL87" s="26" t="s">
        <v>50</v>
      </c>
      <c r="AM87" s="28" t="s">
        <v>58</v>
      </c>
    </row>
    <row r="88" spans="2:39" x14ac:dyDescent="0.3">
      <c r="B88" s="32"/>
      <c r="C88" s="6"/>
      <c r="F88" s="6"/>
      <c r="G88" s="5"/>
      <c r="H88" s="5"/>
      <c r="N88" s="23"/>
      <c r="O88" s="25"/>
      <c r="P88" s="23"/>
      <c r="Q88" s="23"/>
      <c r="R88" s="26" t="s">
        <v>50</v>
      </c>
      <c r="S88" s="23"/>
      <c r="T88" s="26" t="s">
        <v>50</v>
      </c>
      <c r="U88" s="27" t="s">
        <v>95</v>
      </c>
      <c r="V88" s="40">
        <f t="shared" si="5"/>
        <v>0</v>
      </c>
      <c r="W88" s="40">
        <f t="shared" si="6"/>
        <v>0</v>
      </c>
      <c r="X88" s="23" t="s">
        <v>92</v>
      </c>
      <c r="Y88" s="26" t="s">
        <v>50</v>
      </c>
      <c r="Z88" s="23"/>
      <c r="AA88" s="26" t="s">
        <v>50</v>
      </c>
      <c r="AB88" s="41">
        <f t="shared" si="7"/>
        <v>0</v>
      </c>
      <c r="AC88" s="23">
        <v>1</v>
      </c>
      <c r="AD88" s="23" t="s">
        <v>97</v>
      </c>
      <c r="AE88" s="24">
        <v>42277</v>
      </c>
      <c r="AF88" s="23" t="s">
        <v>92</v>
      </c>
      <c r="AG88" s="23">
        <f t="shared" si="8"/>
        <v>0</v>
      </c>
      <c r="AH88" s="23"/>
      <c r="AI88" s="27" t="str">
        <f t="shared" si="9"/>
        <v>P20</v>
      </c>
      <c r="AJ88" s="23"/>
      <c r="AK88" s="23"/>
      <c r="AL88" s="26" t="s">
        <v>50</v>
      </c>
      <c r="AM88" s="28" t="s">
        <v>58</v>
      </c>
    </row>
    <row r="89" spans="2:39" x14ac:dyDescent="0.3">
      <c r="B89" s="32"/>
      <c r="C89" s="6"/>
      <c r="F89" s="6"/>
      <c r="G89" s="5"/>
      <c r="H89" s="5"/>
      <c r="N89" s="23"/>
      <c r="O89" s="25"/>
      <c r="P89" s="23"/>
      <c r="Q89" s="23"/>
      <c r="R89" s="26" t="s">
        <v>50</v>
      </c>
      <c r="S89" s="23"/>
      <c r="T89" s="26" t="s">
        <v>50</v>
      </c>
      <c r="U89" s="27" t="s">
        <v>95</v>
      </c>
      <c r="V89" s="40">
        <f t="shared" si="5"/>
        <v>0</v>
      </c>
      <c r="W89" s="40">
        <f t="shared" si="6"/>
        <v>0</v>
      </c>
      <c r="X89" s="23" t="s">
        <v>92</v>
      </c>
      <c r="Y89" s="26" t="s">
        <v>50</v>
      </c>
      <c r="Z89" s="23"/>
      <c r="AA89" s="26" t="s">
        <v>50</v>
      </c>
      <c r="AB89" s="41">
        <f t="shared" si="7"/>
        <v>0</v>
      </c>
      <c r="AC89" s="23">
        <v>1</v>
      </c>
      <c r="AD89" s="23" t="s">
        <v>97</v>
      </c>
      <c r="AE89" s="24">
        <v>42277</v>
      </c>
      <c r="AF89" s="23" t="s">
        <v>92</v>
      </c>
      <c r="AG89" s="23">
        <f t="shared" si="8"/>
        <v>0</v>
      </c>
      <c r="AH89" s="23"/>
      <c r="AI89" s="27" t="str">
        <f t="shared" si="9"/>
        <v>P20</v>
      </c>
      <c r="AJ89" s="23"/>
      <c r="AK89" s="23"/>
      <c r="AL89" s="26" t="s">
        <v>50</v>
      </c>
      <c r="AM89" s="28" t="s">
        <v>58</v>
      </c>
    </row>
    <row r="90" spans="2:39" x14ac:dyDescent="0.3">
      <c r="B90" s="32"/>
      <c r="C90" s="6"/>
      <c r="F90" s="6"/>
      <c r="G90" s="5"/>
      <c r="H90" s="5"/>
      <c r="N90" s="23"/>
      <c r="O90" s="25"/>
      <c r="P90" s="23"/>
      <c r="Q90" s="23"/>
      <c r="R90" s="26" t="s">
        <v>50</v>
      </c>
      <c r="S90" s="23"/>
      <c r="T90" s="26" t="s">
        <v>50</v>
      </c>
      <c r="U90" s="27" t="s">
        <v>95</v>
      </c>
      <c r="V90" s="40">
        <f t="shared" si="5"/>
        <v>0</v>
      </c>
      <c r="W90" s="40">
        <f t="shared" si="6"/>
        <v>0</v>
      </c>
      <c r="X90" s="23" t="s">
        <v>92</v>
      </c>
      <c r="Y90" s="26" t="s">
        <v>50</v>
      </c>
      <c r="Z90" s="23"/>
      <c r="AA90" s="26" t="s">
        <v>50</v>
      </c>
      <c r="AB90" s="41">
        <f t="shared" si="7"/>
        <v>0</v>
      </c>
      <c r="AC90" s="23">
        <v>1</v>
      </c>
      <c r="AD90" s="23" t="s">
        <v>97</v>
      </c>
      <c r="AE90" s="24">
        <v>42277</v>
      </c>
      <c r="AF90" s="23" t="s">
        <v>92</v>
      </c>
      <c r="AG90" s="23">
        <f t="shared" si="8"/>
        <v>0</v>
      </c>
      <c r="AH90" s="23"/>
      <c r="AI90" s="27" t="str">
        <f t="shared" si="9"/>
        <v>P20</v>
      </c>
      <c r="AJ90" s="23"/>
      <c r="AK90" s="23"/>
      <c r="AL90" s="26" t="s">
        <v>50</v>
      </c>
      <c r="AM90" s="28" t="s">
        <v>58</v>
      </c>
    </row>
    <row r="91" spans="2:39" x14ac:dyDescent="0.3">
      <c r="B91" s="32"/>
      <c r="C91" s="6"/>
      <c r="F91" s="6"/>
      <c r="G91" s="5"/>
      <c r="H91" s="5"/>
      <c r="N91" s="23"/>
      <c r="O91" s="25"/>
      <c r="P91" s="23"/>
      <c r="Q91" s="23"/>
      <c r="R91" s="26" t="s">
        <v>50</v>
      </c>
      <c r="S91" s="23"/>
      <c r="T91" s="26" t="s">
        <v>50</v>
      </c>
      <c r="U91" s="27" t="s">
        <v>95</v>
      </c>
      <c r="V91" s="40">
        <f t="shared" si="5"/>
        <v>0</v>
      </c>
      <c r="W91" s="40">
        <f t="shared" si="6"/>
        <v>0</v>
      </c>
      <c r="X91" s="23" t="s">
        <v>92</v>
      </c>
      <c r="Y91" s="26" t="s">
        <v>50</v>
      </c>
      <c r="Z91" s="23"/>
      <c r="AA91" s="26" t="s">
        <v>50</v>
      </c>
      <c r="AB91" s="41">
        <f t="shared" si="7"/>
        <v>0</v>
      </c>
      <c r="AC91" s="23">
        <v>1</v>
      </c>
      <c r="AD91" s="23" t="s">
        <v>97</v>
      </c>
      <c r="AE91" s="24">
        <v>42277</v>
      </c>
      <c r="AF91" s="23" t="s">
        <v>92</v>
      </c>
      <c r="AG91" s="23">
        <f t="shared" si="8"/>
        <v>0</v>
      </c>
      <c r="AH91" s="23"/>
      <c r="AI91" s="27" t="str">
        <f t="shared" si="9"/>
        <v>P20</v>
      </c>
      <c r="AJ91" s="23"/>
      <c r="AK91" s="23"/>
      <c r="AL91" s="26" t="s">
        <v>50</v>
      </c>
      <c r="AM91" s="28" t="s">
        <v>58</v>
      </c>
    </row>
    <row r="92" spans="2:39" x14ac:dyDescent="0.3">
      <c r="B92" s="32"/>
      <c r="C92" s="6"/>
      <c r="F92" s="6"/>
      <c r="G92" s="5"/>
      <c r="H92" s="5"/>
      <c r="N92" s="23"/>
      <c r="O92" s="25"/>
      <c r="P92" s="23"/>
      <c r="Q92" s="23"/>
      <c r="R92" s="26" t="s">
        <v>50</v>
      </c>
      <c r="S92" s="23"/>
      <c r="T92" s="26" t="s">
        <v>50</v>
      </c>
      <c r="U92" s="27" t="s">
        <v>95</v>
      </c>
      <c r="V92" s="40">
        <f t="shared" si="5"/>
        <v>0</v>
      </c>
      <c r="W92" s="40">
        <f t="shared" si="6"/>
        <v>0</v>
      </c>
      <c r="X92" s="23" t="s">
        <v>92</v>
      </c>
      <c r="Y92" s="26" t="s">
        <v>50</v>
      </c>
      <c r="Z92" s="23"/>
      <c r="AA92" s="26" t="s">
        <v>50</v>
      </c>
      <c r="AB92" s="41">
        <f t="shared" si="7"/>
        <v>0</v>
      </c>
      <c r="AC92" s="23">
        <v>1</v>
      </c>
      <c r="AD92" s="23" t="s">
        <v>97</v>
      </c>
      <c r="AE92" s="24">
        <v>42277</v>
      </c>
      <c r="AF92" s="23" t="s">
        <v>92</v>
      </c>
      <c r="AG92" s="23">
        <f t="shared" si="8"/>
        <v>0</v>
      </c>
      <c r="AH92" s="23"/>
      <c r="AI92" s="27" t="str">
        <f t="shared" si="9"/>
        <v>P20</v>
      </c>
      <c r="AJ92" s="23"/>
      <c r="AK92" s="23"/>
      <c r="AL92" s="26" t="s">
        <v>50</v>
      </c>
      <c r="AM92" s="28" t="s">
        <v>58</v>
      </c>
    </row>
    <row r="93" spans="2:39" x14ac:dyDescent="0.3">
      <c r="B93" s="32"/>
      <c r="C93" s="6"/>
      <c r="F93" s="6"/>
      <c r="G93" s="5"/>
      <c r="H93" s="5"/>
      <c r="N93" s="23"/>
      <c r="O93" s="25"/>
      <c r="P93" s="23"/>
      <c r="Q93" s="23"/>
      <c r="R93" s="26" t="s">
        <v>50</v>
      </c>
      <c r="S93" s="23"/>
      <c r="T93" s="26" t="s">
        <v>50</v>
      </c>
      <c r="U93" s="27" t="s">
        <v>95</v>
      </c>
      <c r="V93" s="40">
        <f t="shared" si="5"/>
        <v>0</v>
      </c>
      <c r="W93" s="40">
        <f t="shared" si="6"/>
        <v>0</v>
      </c>
      <c r="X93" s="23" t="s">
        <v>92</v>
      </c>
      <c r="Y93" s="26" t="s">
        <v>50</v>
      </c>
      <c r="Z93" s="23"/>
      <c r="AA93" s="26" t="s">
        <v>50</v>
      </c>
      <c r="AB93" s="41">
        <f t="shared" si="7"/>
        <v>0</v>
      </c>
      <c r="AC93" s="23">
        <v>1</v>
      </c>
      <c r="AD93" s="23" t="s">
        <v>97</v>
      </c>
      <c r="AE93" s="24">
        <v>42277</v>
      </c>
      <c r="AF93" s="23" t="s">
        <v>92</v>
      </c>
      <c r="AG93" s="23">
        <f t="shared" si="8"/>
        <v>0</v>
      </c>
      <c r="AH93" s="23"/>
      <c r="AI93" s="27" t="str">
        <f t="shared" si="9"/>
        <v>P20</v>
      </c>
      <c r="AJ93" s="23"/>
      <c r="AK93" s="23"/>
      <c r="AL93" s="26" t="s">
        <v>50</v>
      </c>
      <c r="AM93" s="28" t="s">
        <v>58</v>
      </c>
    </row>
    <row r="94" spans="2:39" x14ac:dyDescent="0.3">
      <c r="B94" s="32"/>
      <c r="C94" s="6"/>
      <c r="F94" s="6"/>
      <c r="G94" s="5"/>
      <c r="H94" s="5"/>
      <c r="N94" s="23"/>
      <c r="O94" s="25"/>
      <c r="P94" s="23"/>
      <c r="Q94" s="23"/>
      <c r="R94" s="26" t="s">
        <v>50</v>
      </c>
      <c r="S94" s="23"/>
      <c r="T94" s="26" t="s">
        <v>50</v>
      </c>
      <c r="U94" s="27" t="s">
        <v>95</v>
      </c>
      <c r="V94" s="40">
        <f t="shared" si="5"/>
        <v>0</v>
      </c>
      <c r="W94" s="40">
        <f t="shared" si="6"/>
        <v>0</v>
      </c>
      <c r="X94" s="23" t="s">
        <v>92</v>
      </c>
      <c r="Y94" s="26" t="s">
        <v>50</v>
      </c>
      <c r="Z94" s="23"/>
      <c r="AA94" s="26" t="s">
        <v>50</v>
      </c>
      <c r="AB94" s="41">
        <f t="shared" si="7"/>
        <v>0</v>
      </c>
      <c r="AC94" s="23">
        <v>1</v>
      </c>
      <c r="AD94" s="23" t="s">
        <v>97</v>
      </c>
      <c r="AE94" s="24">
        <v>42277</v>
      </c>
      <c r="AF94" s="23" t="s">
        <v>92</v>
      </c>
      <c r="AG94" s="23">
        <f t="shared" si="8"/>
        <v>0</v>
      </c>
      <c r="AH94" s="23"/>
      <c r="AI94" s="27" t="str">
        <f t="shared" si="9"/>
        <v>P20</v>
      </c>
      <c r="AJ94" s="23"/>
      <c r="AK94" s="23"/>
      <c r="AL94" s="26" t="s">
        <v>50</v>
      </c>
      <c r="AM94" s="28" t="s">
        <v>58</v>
      </c>
    </row>
    <row r="95" spans="2:39" x14ac:dyDescent="0.3">
      <c r="B95" s="32"/>
      <c r="C95" s="6"/>
      <c r="F95" s="6"/>
      <c r="G95" s="5"/>
      <c r="H95" s="5"/>
      <c r="N95" s="23"/>
      <c r="O95" s="25"/>
      <c r="P95" s="23"/>
      <c r="Q95" s="23"/>
      <c r="R95" s="26" t="s">
        <v>50</v>
      </c>
      <c r="S95" s="23"/>
      <c r="T95" s="26" t="s">
        <v>50</v>
      </c>
      <c r="U95" s="27" t="s">
        <v>95</v>
      </c>
      <c r="V95" s="40">
        <f t="shared" si="5"/>
        <v>0</v>
      </c>
      <c r="W95" s="40">
        <f t="shared" si="6"/>
        <v>0</v>
      </c>
      <c r="X95" s="23" t="s">
        <v>92</v>
      </c>
      <c r="Y95" s="26" t="s">
        <v>50</v>
      </c>
      <c r="Z95" s="23"/>
      <c r="AA95" s="26" t="s">
        <v>50</v>
      </c>
      <c r="AB95" s="41">
        <f t="shared" si="7"/>
        <v>0</v>
      </c>
      <c r="AC95" s="23">
        <v>1</v>
      </c>
      <c r="AD95" s="23" t="s">
        <v>97</v>
      </c>
      <c r="AE95" s="24">
        <v>42277</v>
      </c>
      <c r="AF95" s="23" t="s">
        <v>92</v>
      </c>
      <c r="AG95" s="23">
        <f t="shared" si="8"/>
        <v>0</v>
      </c>
      <c r="AH95" s="23"/>
      <c r="AI95" s="27" t="str">
        <f t="shared" si="9"/>
        <v>P20</v>
      </c>
      <c r="AJ95" s="23"/>
      <c r="AK95" s="23"/>
      <c r="AL95" s="26" t="s">
        <v>50</v>
      </c>
      <c r="AM95" s="28" t="s">
        <v>58</v>
      </c>
    </row>
    <row r="96" spans="2:39" x14ac:dyDescent="0.3">
      <c r="B96" s="32"/>
      <c r="C96" s="6"/>
      <c r="F96" s="6"/>
      <c r="G96" s="5"/>
      <c r="H96" s="5"/>
      <c r="N96" s="23"/>
      <c r="O96" s="25"/>
      <c r="P96" s="23"/>
      <c r="Q96" s="23"/>
      <c r="R96" s="26" t="s">
        <v>50</v>
      </c>
      <c r="S96" s="23"/>
      <c r="T96" s="26" t="s">
        <v>50</v>
      </c>
      <c r="U96" s="27" t="s">
        <v>95</v>
      </c>
      <c r="V96" s="40">
        <f t="shared" si="5"/>
        <v>0</v>
      </c>
      <c r="W96" s="40">
        <f t="shared" si="6"/>
        <v>0</v>
      </c>
      <c r="X96" s="23" t="s">
        <v>92</v>
      </c>
      <c r="Y96" s="26" t="s">
        <v>50</v>
      </c>
      <c r="Z96" s="23"/>
      <c r="AA96" s="26" t="s">
        <v>50</v>
      </c>
      <c r="AB96" s="41">
        <f t="shared" si="7"/>
        <v>0</v>
      </c>
      <c r="AC96" s="23">
        <v>1</v>
      </c>
      <c r="AD96" s="23" t="s">
        <v>97</v>
      </c>
      <c r="AE96" s="24">
        <v>42277</v>
      </c>
      <c r="AF96" s="23" t="s">
        <v>92</v>
      </c>
      <c r="AG96" s="23">
        <f t="shared" si="8"/>
        <v>0</v>
      </c>
      <c r="AH96" s="23"/>
      <c r="AI96" s="27" t="str">
        <f t="shared" si="9"/>
        <v>P20</v>
      </c>
      <c r="AJ96" s="23"/>
      <c r="AK96" s="23"/>
      <c r="AL96" s="26" t="s">
        <v>50</v>
      </c>
      <c r="AM96" s="28" t="s">
        <v>58</v>
      </c>
    </row>
    <row r="97" spans="2:39" x14ac:dyDescent="0.3">
      <c r="B97" s="32"/>
      <c r="C97" s="6"/>
      <c r="F97" s="6"/>
      <c r="G97" s="5"/>
      <c r="H97" s="5"/>
      <c r="N97" s="23"/>
      <c r="O97" s="25"/>
      <c r="P97" s="23"/>
      <c r="Q97" s="23"/>
      <c r="R97" s="26" t="s">
        <v>50</v>
      </c>
      <c r="S97" s="23"/>
      <c r="T97" s="26" t="s">
        <v>50</v>
      </c>
      <c r="U97" s="27" t="s">
        <v>95</v>
      </c>
      <c r="V97" s="40">
        <f t="shared" si="5"/>
        <v>0</v>
      </c>
      <c r="W97" s="40">
        <f t="shared" si="6"/>
        <v>0</v>
      </c>
      <c r="X97" s="23" t="s">
        <v>92</v>
      </c>
      <c r="Y97" s="26" t="s">
        <v>50</v>
      </c>
      <c r="Z97" s="23"/>
      <c r="AA97" s="26" t="s">
        <v>50</v>
      </c>
      <c r="AB97" s="41">
        <f t="shared" si="7"/>
        <v>0</v>
      </c>
      <c r="AC97" s="23">
        <v>1</v>
      </c>
      <c r="AD97" s="23" t="s">
        <v>97</v>
      </c>
      <c r="AE97" s="24">
        <v>42277</v>
      </c>
      <c r="AF97" s="23" t="s">
        <v>92</v>
      </c>
      <c r="AG97" s="23">
        <f t="shared" si="8"/>
        <v>0</v>
      </c>
      <c r="AH97" s="23"/>
      <c r="AI97" s="27" t="str">
        <f t="shared" si="9"/>
        <v>P20</v>
      </c>
      <c r="AJ97" s="23"/>
      <c r="AK97" s="23"/>
      <c r="AL97" s="26" t="s">
        <v>50</v>
      </c>
      <c r="AM97" s="28" t="s">
        <v>58</v>
      </c>
    </row>
    <row r="98" spans="2:39" x14ac:dyDescent="0.3">
      <c r="B98" s="32"/>
      <c r="C98" s="6"/>
      <c r="F98" s="6"/>
      <c r="G98" s="5"/>
      <c r="H98" s="5"/>
      <c r="N98" s="23"/>
      <c r="O98" s="25"/>
      <c r="P98" s="23"/>
      <c r="Q98" s="23"/>
      <c r="R98" s="26" t="s">
        <v>50</v>
      </c>
      <c r="S98" s="23"/>
      <c r="T98" s="26" t="s">
        <v>50</v>
      </c>
      <c r="U98" s="27" t="s">
        <v>95</v>
      </c>
      <c r="V98" s="40">
        <f t="shared" si="5"/>
        <v>0</v>
      </c>
      <c r="W98" s="40">
        <f t="shared" si="6"/>
        <v>0</v>
      </c>
      <c r="X98" s="23" t="s">
        <v>92</v>
      </c>
      <c r="Y98" s="26" t="s">
        <v>50</v>
      </c>
      <c r="Z98" s="23"/>
      <c r="AA98" s="26" t="s">
        <v>50</v>
      </c>
      <c r="AB98" s="41">
        <f t="shared" si="7"/>
        <v>0</v>
      </c>
      <c r="AC98" s="23">
        <v>1</v>
      </c>
      <c r="AD98" s="23" t="s">
        <v>97</v>
      </c>
      <c r="AE98" s="24">
        <v>42277</v>
      </c>
      <c r="AF98" s="23" t="s">
        <v>92</v>
      </c>
      <c r="AG98" s="23">
        <f t="shared" si="8"/>
        <v>0</v>
      </c>
      <c r="AH98" s="23"/>
      <c r="AI98" s="27" t="str">
        <f t="shared" si="9"/>
        <v>P20</v>
      </c>
      <c r="AJ98" s="23"/>
      <c r="AK98" s="23"/>
      <c r="AL98" s="26" t="s">
        <v>50</v>
      </c>
      <c r="AM98" s="28" t="s">
        <v>58</v>
      </c>
    </row>
    <row r="99" spans="2:39" x14ac:dyDescent="0.3">
      <c r="B99" s="32"/>
      <c r="C99" s="6"/>
      <c r="F99" s="6"/>
      <c r="G99" s="5"/>
      <c r="H99" s="5"/>
      <c r="N99" s="23"/>
      <c r="O99" s="25"/>
      <c r="P99" s="23"/>
      <c r="Q99" s="23"/>
      <c r="R99" s="26" t="s">
        <v>50</v>
      </c>
      <c r="S99" s="23"/>
      <c r="T99" s="26" t="s">
        <v>50</v>
      </c>
      <c r="U99" s="27" t="s">
        <v>95</v>
      </c>
      <c r="V99" s="40">
        <f t="shared" si="5"/>
        <v>0</v>
      </c>
      <c r="W99" s="40">
        <f t="shared" si="6"/>
        <v>0</v>
      </c>
      <c r="X99" s="23" t="s">
        <v>92</v>
      </c>
      <c r="Y99" s="26" t="s">
        <v>50</v>
      </c>
      <c r="Z99" s="23"/>
      <c r="AA99" s="26" t="s">
        <v>50</v>
      </c>
      <c r="AB99" s="41">
        <f t="shared" si="7"/>
        <v>0</v>
      </c>
      <c r="AC99" s="23">
        <v>1</v>
      </c>
      <c r="AD99" s="23" t="s">
        <v>97</v>
      </c>
      <c r="AE99" s="24">
        <v>42277</v>
      </c>
      <c r="AF99" s="23" t="s">
        <v>92</v>
      </c>
      <c r="AG99" s="23">
        <f t="shared" si="8"/>
        <v>0</v>
      </c>
      <c r="AH99" s="23"/>
      <c r="AI99" s="27" t="str">
        <f t="shared" si="9"/>
        <v>P20</v>
      </c>
      <c r="AJ99" s="23"/>
      <c r="AK99" s="23"/>
      <c r="AL99" s="26" t="s">
        <v>50</v>
      </c>
      <c r="AM99" s="28" t="s">
        <v>58</v>
      </c>
    </row>
    <row r="100" spans="2:39" x14ac:dyDescent="0.3">
      <c r="B100" s="32"/>
      <c r="C100" s="6"/>
      <c r="F100" s="6"/>
      <c r="G100" s="5"/>
      <c r="H100" s="5"/>
      <c r="N100" s="23"/>
      <c r="O100" s="25"/>
      <c r="P100" s="23"/>
      <c r="Q100" s="23"/>
      <c r="R100" s="26" t="s">
        <v>50</v>
      </c>
      <c r="S100" s="23"/>
      <c r="T100" s="26" t="s">
        <v>50</v>
      </c>
      <c r="U100" s="27" t="s">
        <v>95</v>
      </c>
      <c r="V100" s="40">
        <f t="shared" si="5"/>
        <v>0</v>
      </c>
      <c r="W100" s="40">
        <f t="shared" si="6"/>
        <v>0</v>
      </c>
      <c r="X100" s="23" t="s">
        <v>92</v>
      </c>
      <c r="Y100" s="26" t="s">
        <v>50</v>
      </c>
      <c r="Z100" s="23"/>
      <c r="AA100" s="26" t="s">
        <v>50</v>
      </c>
      <c r="AB100" s="41">
        <f t="shared" si="7"/>
        <v>0</v>
      </c>
      <c r="AC100" s="23">
        <v>1</v>
      </c>
      <c r="AD100" s="23" t="s">
        <v>97</v>
      </c>
      <c r="AE100" s="24">
        <v>42277</v>
      </c>
      <c r="AF100" s="23" t="s">
        <v>92</v>
      </c>
      <c r="AG100" s="23">
        <f t="shared" si="8"/>
        <v>0</v>
      </c>
      <c r="AH100" s="23"/>
      <c r="AI100" s="27" t="str">
        <f t="shared" si="9"/>
        <v>P20</v>
      </c>
      <c r="AJ100" s="23"/>
      <c r="AK100" s="23"/>
      <c r="AL100" s="26" t="s">
        <v>50</v>
      </c>
      <c r="AM100" s="28" t="s">
        <v>58</v>
      </c>
    </row>
    <row r="101" spans="2:39" x14ac:dyDescent="0.3">
      <c r="B101" s="32"/>
      <c r="C101" s="6"/>
      <c r="F101" s="6"/>
      <c r="G101" s="5"/>
      <c r="H101" s="5"/>
      <c r="N101" s="23"/>
      <c r="O101" s="25"/>
      <c r="P101" s="23"/>
      <c r="Q101" s="23"/>
      <c r="R101" s="26" t="s">
        <v>50</v>
      </c>
      <c r="S101" s="23"/>
      <c r="T101" s="26" t="s">
        <v>50</v>
      </c>
      <c r="U101" s="27" t="s">
        <v>95</v>
      </c>
      <c r="V101" s="40">
        <f t="shared" si="5"/>
        <v>0</v>
      </c>
      <c r="W101" s="40">
        <f t="shared" si="6"/>
        <v>0</v>
      </c>
      <c r="X101" s="23" t="s">
        <v>92</v>
      </c>
      <c r="Y101" s="26" t="s">
        <v>50</v>
      </c>
      <c r="Z101" s="23"/>
      <c r="AA101" s="26" t="s">
        <v>50</v>
      </c>
      <c r="AB101" s="41">
        <f t="shared" si="7"/>
        <v>0</v>
      </c>
      <c r="AC101" s="23">
        <v>1</v>
      </c>
      <c r="AD101" s="23" t="s">
        <v>97</v>
      </c>
      <c r="AE101" s="24">
        <v>42277</v>
      </c>
      <c r="AF101" s="23" t="s">
        <v>92</v>
      </c>
      <c r="AG101" s="23">
        <f t="shared" si="8"/>
        <v>0</v>
      </c>
      <c r="AH101" s="23"/>
      <c r="AI101" s="27" t="str">
        <f t="shared" si="9"/>
        <v>P20</v>
      </c>
      <c r="AJ101" s="23"/>
      <c r="AK101" s="23"/>
      <c r="AL101" s="26" t="s">
        <v>50</v>
      </c>
      <c r="AM101" s="28" t="s">
        <v>58</v>
      </c>
    </row>
    <row r="102" spans="2:39" x14ac:dyDescent="0.3">
      <c r="B102" s="32"/>
      <c r="C102" s="6"/>
      <c r="F102" s="6"/>
      <c r="G102" s="5"/>
      <c r="H102" s="5"/>
      <c r="N102" s="23"/>
      <c r="O102" s="25"/>
      <c r="P102" s="23"/>
      <c r="Q102" s="23"/>
      <c r="R102" s="26" t="s">
        <v>50</v>
      </c>
      <c r="S102" s="23"/>
      <c r="T102" s="26" t="s">
        <v>50</v>
      </c>
      <c r="U102" s="27" t="s">
        <v>95</v>
      </c>
      <c r="V102" s="40">
        <f t="shared" si="5"/>
        <v>0</v>
      </c>
      <c r="W102" s="40">
        <f t="shared" si="6"/>
        <v>0</v>
      </c>
      <c r="X102" s="23" t="s">
        <v>92</v>
      </c>
      <c r="Y102" s="26" t="s">
        <v>50</v>
      </c>
      <c r="Z102" s="23"/>
      <c r="AA102" s="26" t="s">
        <v>50</v>
      </c>
      <c r="AB102" s="41">
        <f t="shared" si="7"/>
        <v>0</v>
      </c>
      <c r="AC102" s="23">
        <v>1</v>
      </c>
      <c r="AD102" s="23" t="s">
        <v>97</v>
      </c>
      <c r="AE102" s="24">
        <v>42277</v>
      </c>
      <c r="AF102" s="23" t="s">
        <v>92</v>
      </c>
      <c r="AG102" s="23">
        <f t="shared" si="8"/>
        <v>0</v>
      </c>
      <c r="AH102" s="23"/>
      <c r="AI102" s="27" t="str">
        <f t="shared" si="9"/>
        <v>P20</v>
      </c>
      <c r="AJ102" s="23"/>
      <c r="AK102" s="23"/>
      <c r="AL102" s="26" t="s">
        <v>50</v>
      </c>
      <c r="AM102" s="28" t="s">
        <v>58</v>
      </c>
    </row>
    <row r="103" spans="2:39" x14ac:dyDescent="0.3">
      <c r="B103" s="32"/>
      <c r="C103" s="6"/>
      <c r="F103" s="6"/>
      <c r="G103" s="5"/>
      <c r="H103" s="5"/>
      <c r="N103" s="23"/>
      <c r="O103" s="25"/>
      <c r="P103" s="23"/>
      <c r="Q103" s="23"/>
      <c r="R103" s="26" t="s">
        <v>50</v>
      </c>
      <c r="S103" s="23"/>
      <c r="T103" s="26" t="s">
        <v>50</v>
      </c>
      <c r="U103" s="27" t="s">
        <v>95</v>
      </c>
      <c r="V103" s="40">
        <f t="shared" si="5"/>
        <v>0</v>
      </c>
      <c r="W103" s="40">
        <f t="shared" si="6"/>
        <v>0</v>
      </c>
      <c r="X103" s="23" t="s">
        <v>92</v>
      </c>
      <c r="Y103" s="26" t="s">
        <v>50</v>
      </c>
      <c r="Z103" s="23"/>
      <c r="AA103" s="26" t="s">
        <v>50</v>
      </c>
      <c r="AB103" s="41">
        <f t="shared" si="7"/>
        <v>0</v>
      </c>
      <c r="AC103" s="23">
        <v>1</v>
      </c>
      <c r="AD103" s="23" t="s">
        <v>97</v>
      </c>
      <c r="AE103" s="24">
        <v>42277</v>
      </c>
      <c r="AF103" s="23" t="s">
        <v>92</v>
      </c>
      <c r="AG103" s="23">
        <f t="shared" si="8"/>
        <v>0</v>
      </c>
      <c r="AH103" s="23"/>
      <c r="AI103" s="27" t="str">
        <f t="shared" si="9"/>
        <v>P20</v>
      </c>
      <c r="AJ103" s="23"/>
      <c r="AK103" s="23"/>
      <c r="AL103" s="26" t="s">
        <v>50</v>
      </c>
      <c r="AM103" s="28" t="s">
        <v>58</v>
      </c>
    </row>
    <row r="104" spans="2:39" x14ac:dyDescent="0.3">
      <c r="B104" s="32"/>
      <c r="C104" s="6"/>
      <c r="F104" s="6"/>
      <c r="G104" s="5"/>
      <c r="H104" s="5"/>
      <c r="N104" s="23"/>
      <c r="O104" s="25"/>
      <c r="P104" s="23"/>
      <c r="Q104" s="23"/>
      <c r="R104" s="26" t="s">
        <v>50</v>
      </c>
      <c r="S104" s="23"/>
      <c r="T104" s="26" t="s">
        <v>50</v>
      </c>
      <c r="U104" s="27" t="s">
        <v>95</v>
      </c>
      <c r="V104" s="40">
        <f t="shared" si="5"/>
        <v>0</v>
      </c>
      <c r="W104" s="40">
        <f t="shared" si="6"/>
        <v>0</v>
      </c>
      <c r="X104" s="23" t="s">
        <v>92</v>
      </c>
      <c r="Y104" s="26" t="s">
        <v>50</v>
      </c>
      <c r="Z104" s="23"/>
      <c r="AA104" s="26" t="s">
        <v>50</v>
      </c>
      <c r="AB104" s="41">
        <f t="shared" si="7"/>
        <v>0</v>
      </c>
      <c r="AC104" s="23">
        <v>1</v>
      </c>
      <c r="AD104" s="23" t="s">
        <v>97</v>
      </c>
      <c r="AE104" s="24">
        <v>42277</v>
      </c>
      <c r="AF104" s="23" t="s">
        <v>92</v>
      </c>
      <c r="AG104" s="23">
        <f t="shared" si="8"/>
        <v>0</v>
      </c>
      <c r="AH104" s="23"/>
      <c r="AI104" s="27" t="str">
        <f t="shared" si="9"/>
        <v>P20</v>
      </c>
      <c r="AJ104" s="23"/>
      <c r="AK104" s="23"/>
      <c r="AL104" s="26" t="s">
        <v>50</v>
      </c>
      <c r="AM104" s="28" t="s">
        <v>58</v>
      </c>
    </row>
    <row r="105" spans="2:39" x14ac:dyDescent="0.3">
      <c r="B105" s="32"/>
      <c r="C105" s="6"/>
      <c r="F105" s="6"/>
      <c r="G105" s="5"/>
      <c r="H105" s="5"/>
      <c r="N105" s="23"/>
      <c r="O105" s="25"/>
      <c r="P105" s="23"/>
      <c r="Q105" s="23"/>
      <c r="R105" s="26" t="s">
        <v>50</v>
      </c>
      <c r="S105" s="23"/>
      <c r="T105" s="26" t="s">
        <v>50</v>
      </c>
      <c r="U105" s="27" t="s">
        <v>95</v>
      </c>
      <c r="V105" s="40">
        <f t="shared" si="5"/>
        <v>0</v>
      </c>
      <c r="W105" s="40">
        <f t="shared" si="6"/>
        <v>0</v>
      </c>
      <c r="X105" s="23" t="s">
        <v>92</v>
      </c>
      <c r="Y105" s="26" t="s">
        <v>50</v>
      </c>
      <c r="Z105" s="23"/>
      <c r="AA105" s="26" t="s">
        <v>50</v>
      </c>
      <c r="AB105" s="41">
        <f t="shared" si="7"/>
        <v>0</v>
      </c>
      <c r="AC105" s="23">
        <v>1</v>
      </c>
      <c r="AD105" s="23" t="s">
        <v>97</v>
      </c>
      <c r="AE105" s="24">
        <v>42277</v>
      </c>
      <c r="AF105" s="23" t="s">
        <v>92</v>
      </c>
      <c r="AG105" s="23">
        <f t="shared" si="8"/>
        <v>0</v>
      </c>
      <c r="AH105" s="23"/>
      <c r="AI105" s="27" t="str">
        <f t="shared" si="9"/>
        <v>P20</v>
      </c>
      <c r="AJ105" s="23"/>
      <c r="AK105" s="23"/>
      <c r="AL105" s="26" t="s">
        <v>50</v>
      </c>
      <c r="AM105" s="28" t="s">
        <v>58</v>
      </c>
    </row>
    <row r="106" spans="2:39" x14ac:dyDescent="0.3">
      <c r="B106" s="32"/>
      <c r="C106" s="6"/>
      <c r="F106" s="6"/>
      <c r="G106" s="5"/>
      <c r="H106" s="5"/>
      <c r="N106" s="23"/>
      <c r="O106" s="25"/>
      <c r="P106" s="23"/>
      <c r="Q106" s="23"/>
      <c r="R106" s="26" t="s">
        <v>50</v>
      </c>
      <c r="S106" s="23"/>
      <c r="T106" s="26" t="s">
        <v>50</v>
      </c>
      <c r="U106" s="27" t="s">
        <v>95</v>
      </c>
      <c r="V106" s="40">
        <f t="shared" si="5"/>
        <v>0</v>
      </c>
      <c r="W106" s="40">
        <f t="shared" si="6"/>
        <v>0</v>
      </c>
      <c r="X106" s="23" t="s">
        <v>92</v>
      </c>
      <c r="Y106" s="26" t="s">
        <v>50</v>
      </c>
      <c r="Z106" s="23"/>
      <c r="AA106" s="26" t="s">
        <v>50</v>
      </c>
      <c r="AB106" s="41">
        <f t="shared" si="7"/>
        <v>0</v>
      </c>
      <c r="AC106" s="23">
        <v>1</v>
      </c>
      <c r="AD106" s="23" t="s">
        <v>97</v>
      </c>
      <c r="AE106" s="24">
        <v>42277</v>
      </c>
      <c r="AF106" s="23" t="s">
        <v>92</v>
      </c>
      <c r="AG106" s="23">
        <f t="shared" si="8"/>
        <v>0</v>
      </c>
      <c r="AH106" s="23"/>
      <c r="AI106" s="27" t="str">
        <f t="shared" si="9"/>
        <v>P20</v>
      </c>
      <c r="AJ106" s="23"/>
      <c r="AK106" s="23"/>
      <c r="AL106" s="26" t="s">
        <v>50</v>
      </c>
      <c r="AM106" s="28" t="s">
        <v>58</v>
      </c>
    </row>
    <row r="107" spans="2:39" x14ac:dyDescent="0.3">
      <c r="B107" s="32"/>
      <c r="C107" s="6"/>
      <c r="F107" s="6"/>
      <c r="G107" s="5"/>
      <c r="H107" s="5"/>
      <c r="N107" s="23"/>
      <c r="O107" s="25"/>
      <c r="P107" s="23"/>
      <c r="Q107" s="23"/>
      <c r="R107" s="26" t="s">
        <v>50</v>
      </c>
      <c r="S107" s="23"/>
      <c r="T107" s="26" t="s">
        <v>50</v>
      </c>
      <c r="U107" s="27" t="s">
        <v>95</v>
      </c>
      <c r="V107" s="40">
        <f t="shared" si="5"/>
        <v>0</v>
      </c>
      <c r="W107" s="40">
        <f t="shared" si="6"/>
        <v>0</v>
      </c>
      <c r="X107" s="23" t="s">
        <v>92</v>
      </c>
      <c r="Y107" s="26" t="s">
        <v>50</v>
      </c>
      <c r="Z107" s="23"/>
      <c r="AA107" s="26" t="s">
        <v>50</v>
      </c>
      <c r="AB107" s="41">
        <f t="shared" si="7"/>
        <v>0</v>
      </c>
      <c r="AC107" s="23">
        <v>1</v>
      </c>
      <c r="AD107" s="23" t="s">
        <v>97</v>
      </c>
      <c r="AE107" s="24">
        <v>42277</v>
      </c>
      <c r="AF107" s="23" t="s">
        <v>92</v>
      </c>
      <c r="AG107" s="23">
        <f t="shared" si="8"/>
        <v>0</v>
      </c>
      <c r="AH107" s="23"/>
      <c r="AI107" s="27" t="str">
        <f t="shared" si="9"/>
        <v>P20</v>
      </c>
      <c r="AJ107" s="23"/>
      <c r="AK107" s="23"/>
      <c r="AL107" s="26" t="s">
        <v>50</v>
      </c>
      <c r="AM107" s="28" t="s">
        <v>58</v>
      </c>
    </row>
    <row r="108" spans="2:39" x14ac:dyDescent="0.3">
      <c r="B108" s="32"/>
      <c r="C108" s="6"/>
      <c r="F108" s="6"/>
      <c r="G108" s="5"/>
      <c r="H108" s="5"/>
      <c r="N108" s="23"/>
      <c r="O108" s="25"/>
      <c r="P108" s="23"/>
      <c r="Q108" s="23"/>
      <c r="R108" s="26" t="s">
        <v>50</v>
      </c>
      <c r="S108" s="23"/>
      <c r="T108" s="26" t="s">
        <v>50</v>
      </c>
      <c r="U108" s="27" t="s">
        <v>95</v>
      </c>
      <c r="V108" s="40">
        <f t="shared" si="5"/>
        <v>0</v>
      </c>
      <c r="W108" s="40">
        <f t="shared" si="6"/>
        <v>0</v>
      </c>
      <c r="X108" s="23" t="s">
        <v>92</v>
      </c>
      <c r="Y108" s="26" t="s">
        <v>50</v>
      </c>
      <c r="Z108" s="23"/>
      <c r="AA108" s="26" t="s">
        <v>50</v>
      </c>
      <c r="AB108" s="41">
        <f t="shared" si="7"/>
        <v>0</v>
      </c>
      <c r="AC108" s="23">
        <v>1</v>
      </c>
      <c r="AD108" s="23" t="s">
        <v>97</v>
      </c>
      <c r="AE108" s="24">
        <v>42277</v>
      </c>
      <c r="AF108" s="23" t="s">
        <v>92</v>
      </c>
      <c r="AG108" s="23">
        <f t="shared" si="8"/>
        <v>0</v>
      </c>
      <c r="AH108" s="23"/>
      <c r="AI108" s="27" t="str">
        <f t="shared" si="9"/>
        <v>P20</v>
      </c>
      <c r="AJ108" s="23"/>
      <c r="AK108" s="23"/>
      <c r="AL108" s="26" t="s">
        <v>50</v>
      </c>
      <c r="AM108" s="28" t="s">
        <v>58</v>
      </c>
    </row>
    <row r="109" spans="2:39" x14ac:dyDescent="0.3">
      <c r="B109" s="32"/>
      <c r="C109" s="6"/>
      <c r="F109" s="6"/>
      <c r="G109" s="5"/>
      <c r="H109" s="5"/>
      <c r="N109" s="23"/>
      <c r="O109" s="25"/>
      <c r="P109" s="23"/>
      <c r="Q109" s="23"/>
      <c r="R109" s="26" t="s">
        <v>50</v>
      </c>
      <c r="S109" s="23"/>
      <c r="T109" s="26" t="s">
        <v>50</v>
      </c>
      <c r="U109" s="27" t="s">
        <v>95</v>
      </c>
      <c r="V109" s="40">
        <f t="shared" si="5"/>
        <v>0</v>
      </c>
      <c r="W109" s="40">
        <f t="shared" si="6"/>
        <v>0</v>
      </c>
      <c r="X109" s="23" t="s">
        <v>92</v>
      </c>
      <c r="Y109" s="26" t="s">
        <v>50</v>
      </c>
      <c r="Z109" s="23"/>
      <c r="AA109" s="26" t="s">
        <v>50</v>
      </c>
      <c r="AB109" s="41">
        <f t="shared" si="7"/>
        <v>0</v>
      </c>
      <c r="AC109" s="23">
        <v>1</v>
      </c>
      <c r="AD109" s="23" t="s">
        <v>97</v>
      </c>
      <c r="AE109" s="24">
        <v>42277</v>
      </c>
      <c r="AF109" s="23" t="s">
        <v>92</v>
      </c>
      <c r="AG109" s="23">
        <f t="shared" si="8"/>
        <v>0</v>
      </c>
      <c r="AH109" s="23"/>
      <c r="AI109" s="27" t="str">
        <f t="shared" si="9"/>
        <v>P20</v>
      </c>
      <c r="AJ109" s="23"/>
      <c r="AK109" s="23"/>
      <c r="AL109" s="26" t="s">
        <v>50</v>
      </c>
      <c r="AM109" s="28" t="s">
        <v>58</v>
      </c>
    </row>
    <row r="110" spans="2:39" x14ac:dyDescent="0.3">
      <c r="B110" s="32"/>
      <c r="C110" s="6"/>
      <c r="F110" s="6"/>
      <c r="G110" s="5"/>
      <c r="H110" s="5"/>
      <c r="N110" s="23"/>
      <c r="O110" s="25"/>
      <c r="P110" s="23"/>
      <c r="Q110" s="23"/>
      <c r="R110" s="26" t="s">
        <v>50</v>
      </c>
      <c r="S110" s="23"/>
      <c r="T110" s="26" t="s">
        <v>50</v>
      </c>
      <c r="U110" s="27" t="s">
        <v>95</v>
      </c>
      <c r="V110" s="40">
        <f t="shared" si="5"/>
        <v>0</v>
      </c>
      <c r="W110" s="40">
        <f t="shared" si="6"/>
        <v>0</v>
      </c>
      <c r="X110" s="23" t="s">
        <v>92</v>
      </c>
      <c r="Y110" s="26" t="s">
        <v>50</v>
      </c>
      <c r="Z110" s="23"/>
      <c r="AA110" s="26" t="s">
        <v>50</v>
      </c>
      <c r="AB110" s="41">
        <f t="shared" si="7"/>
        <v>0</v>
      </c>
      <c r="AC110" s="23">
        <v>1</v>
      </c>
      <c r="AD110" s="23" t="s">
        <v>97</v>
      </c>
      <c r="AE110" s="24">
        <v>42277</v>
      </c>
      <c r="AF110" s="23" t="s">
        <v>92</v>
      </c>
      <c r="AG110" s="23">
        <f t="shared" si="8"/>
        <v>0</v>
      </c>
      <c r="AH110" s="23"/>
      <c r="AI110" s="27" t="str">
        <f t="shared" si="9"/>
        <v>P20</v>
      </c>
      <c r="AJ110" s="23"/>
      <c r="AK110" s="23"/>
      <c r="AL110" s="26" t="s">
        <v>50</v>
      </c>
      <c r="AM110" s="28" t="s">
        <v>58</v>
      </c>
    </row>
    <row r="111" spans="2:39" x14ac:dyDescent="0.3">
      <c r="B111" s="32"/>
      <c r="C111" s="6"/>
      <c r="F111" s="6"/>
      <c r="G111" s="5"/>
      <c r="H111" s="5"/>
      <c r="N111" s="23"/>
      <c r="O111" s="25"/>
      <c r="P111" s="23"/>
      <c r="Q111" s="23"/>
      <c r="R111" s="26" t="s">
        <v>50</v>
      </c>
      <c r="S111" s="23"/>
      <c r="T111" s="26" t="s">
        <v>50</v>
      </c>
      <c r="U111" s="27" t="s">
        <v>95</v>
      </c>
      <c r="V111" s="40">
        <f t="shared" si="5"/>
        <v>0</v>
      </c>
      <c r="W111" s="40">
        <f t="shared" si="6"/>
        <v>0</v>
      </c>
      <c r="X111" s="23" t="s">
        <v>92</v>
      </c>
      <c r="Y111" s="26" t="s">
        <v>50</v>
      </c>
      <c r="Z111" s="23"/>
      <c r="AA111" s="26" t="s">
        <v>50</v>
      </c>
      <c r="AB111" s="41">
        <f t="shared" si="7"/>
        <v>0</v>
      </c>
      <c r="AC111" s="23">
        <v>1</v>
      </c>
      <c r="AD111" s="23" t="s">
        <v>97</v>
      </c>
      <c r="AE111" s="24">
        <v>42277</v>
      </c>
      <c r="AF111" s="23" t="s">
        <v>92</v>
      </c>
      <c r="AG111" s="23">
        <f t="shared" si="8"/>
        <v>0</v>
      </c>
      <c r="AH111" s="23"/>
      <c r="AI111" s="27" t="str">
        <f t="shared" si="9"/>
        <v>P20</v>
      </c>
      <c r="AJ111" s="23"/>
      <c r="AK111" s="23"/>
      <c r="AL111" s="26" t="s">
        <v>50</v>
      </c>
      <c r="AM111" s="28" t="s">
        <v>58</v>
      </c>
    </row>
    <row r="112" spans="2:39" x14ac:dyDescent="0.3">
      <c r="B112" s="32"/>
      <c r="C112" s="6"/>
      <c r="F112" s="6"/>
      <c r="G112" s="5"/>
      <c r="H112" s="5"/>
      <c r="N112" s="23"/>
      <c r="O112" s="25"/>
      <c r="P112" s="23"/>
      <c r="Q112" s="23"/>
      <c r="R112" s="26" t="s">
        <v>50</v>
      </c>
      <c r="S112" s="23"/>
      <c r="T112" s="26" t="s">
        <v>50</v>
      </c>
      <c r="U112" s="27" t="s">
        <v>95</v>
      </c>
      <c r="V112" s="40">
        <f t="shared" si="5"/>
        <v>0</v>
      </c>
      <c r="W112" s="40">
        <f t="shared" si="6"/>
        <v>0</v>
      </c>
      <c r="X112" s="23" t="s">
        <v>92</v>
      </c>
      <c r="Y112" s="26" t="s">
        <v>50</v>
      </c>
      <c r="Z112" s="23"/>
      <c r="AA112" s="26" t="s">
        <v>50</v>
      </c>
      <c r="AB112" s="41">
        <f t="shared" si="7"/>
        <v>0</v>
      </c>
      <c r="AC112" s="23">
        <v>1</v>
      </c>
      <c r="AD112" s="23" t="s">
        <v>97</v>
      </c>
      <c r="AE112" s="24">
        <v>42277</v>
      </c>
      <c r="AF112" s="23" t="s">
        <v>92</v>
      </c>
      <c r="AG112" s="23">
        <f t="shared" si="8"/>
        <v>0</v>
      </c>
      <c r="AH112" s="23"/>
      <c r="AI112" s="27" t="str">
        <f t="shared" si="9"/>
        <v>P20</v>
      </c>
      <c r="AJ112" s="23"/>
      <c r="AK112" s="23"/>
      <c r="AL112" s="26" t="s">
        <v>50</v>
      </c>
      <c r="AM112" s="28" t="s">
        <v>58</v>
      </c>
    </row>
    <row r="113" spans="2:39" x14ac:dyDescent="0.3">
      <c r="B113" s="32"/>
      <c r="C113" s="6"/>
      <c r="F113" s="6"/>
      <c r="G113" s="5"/>
      <c r="H113" s="5"/>
      <c r="N113" s="23"/>
      <c r="O113" s="25"/>
      <c r="P113" s="23"/>
      <c r="Q113" s="23"/>
      <c r="R113" s="26" t="s">
        <v>50</v>
      </c>
      <c r="S113" s="23"/>
      <c r="T113" s="26" t="s">
        <v>50</v>
      </c>
      <c r="U113" s="27" t="s">
        <v>95</v>
      </c>
      <c r="V113" s="40">
        <f t="shared" si="5"/>
        <v>0</v>
      </c>
      <c r="W113" s="40">
        <f t="shared" si="6"/>
        <v>0</v>
      </c>
      <c r="X113" s="23" t="s">
        <v>92</v>
      </c>
      <c r="Y113" s="26" t="s">
        <v>50</v>
      </c>
      <c r="Z113" s="23"/>
      <c r="AA113" s="26" t="s">
        <v>50</v>
      </c>
      <c r="AB113" s="41">
        <f t="shared" si="7"/>
        <v>0</v>
      </c>
      <c r="AC113" s="23">
        <v>1</v>
      </c>
      <c r="AD113" s="23" t="s">
        <v>97</v>
      </c>
      <c r="AE113" s="24">
        <v>42277</v>
      </c>
      <c r="AF113" s="23" t="s">
        <v>92</v>
      </c>
      <c r="AG113" s="23">
        <f t="shared" si="8"/>
        <v>0</v>
      </c>
      <c r="AH113" s="23"/>
      <c r="AI113" s="27" t="str">
        <f t="shared" si="9"/>
        <v>P20</v>
      </c>
      <c r="AJ113" s="23"/>
      <c r="AK113" s="23"/>
      <c r="AL113" s="26" t="s">
        <v>50</v>
      </c>
      <c r="AM113" s="28" t="s">
        <v>58</v>
      </c>
    </row>
    <row r="114" spans="2:39" x14ac:dyDescent="0.3">
      <c r="B114" s="32"/>
      <c r="C114" s="6"/>
      <c r="F114" s="6"/>
      <c r="G114" s="5"/>
      <c r="H114" s="5"/>
      <c r="N114" s="23"/>
      <c r="O114" s="25"/>
      <c r="P114" s="23"/>
      <c r="Q114" s="23"/>
      <c r="R114" s="26" t="s">
        <v>50</v>
      </c>
      <c r="S114" s="23"/>
      <c r="T114" s="26" t="s">
        <v>50</v>
      </c>
      <c r="U114" s="27" t="s">
        <v>95</v>
      </c>
      <c r="V114" s="40">
        <f t="shared" si="5"/>
        <v>0</v>
      </c>
      <c r="W114" s="40">
        <f t="shared" si="6"/>
        <v>0</v>
      </c>
      <c r="X114" s="23" t="s">
        <v>92</v>
      </c>
      <c r="Y114" s="26" t="s">
        <v>50</v>
      </c>
      <c r="Z114" s="23"/>
      <c r="AA114" s="26" t="s">
        <v>50</v>
      </c>
      <c r="AB114" s="41">
        <f t="shared" si="7"/>
        <v>0</v>
      </c>
      <c r="AC114" s="23">
        <v>1</v>
      </c>
      <c r="AD114" s="23" t="s">
        <v>97</v>
      </c>
      <c r="AE114" s="24">
        <v>42277</v>
      </c>
      <c r="AF114" s="23" t="s">
        <v>92</v>
      </c>
      <c r="AG114" s="23">
        <f t="shared" si="8"/>
        <v>0</v>
      </c>
      <c r="AH114" s="23"/>
      <c r="AI114" s="27" t="str">
        <f t="shared" si="9"/>
        <v>P20</v>
      </c>
      <c r="AJ114" s="23"/>
      <c r="AK114" s="23"/>
      <c r="AL114" s="26" t="s">
        <v>50</v>
      </c>
      <c r="AM114" s="28" t="s">
        <v>58</v>
      </c>
    </row>
    <row r="115" spans="2:39" x14ac:dyDescent="0.3">
      <c r="B115" s="32"/>
      <c r="C115" s="6"/>
      <c r="F115" s="6"/>
      <c r="G115" s="5"/>
      <c r="H115" s="5"/>
      <c r="N115" s="23"/>
      <c r="O115" s="25"/>
      <c r="P115" s="23"/>
      <c r="Q115" s="23"/>
      <c r="R115" s="26" t="s">
        <v>50</v>
      </c>
      <c r="S115" s="23"/>
      <c r="T115" s="26" t="s">
        <v>50</v>
      </c>
      <c r="U115" s="27" t="s">
        <v>95</v>
      </c>
      <c r="V115" s="40">
        <f t="shared" si="5"/>
        <v>0</v>
      </c>
      <c r="W115" s="40">
        <f t="shared" si="6"/>
        <v>0</v>
      </c>
      <c r="X115" s="23" t="s">
        <v>92</v>
      </c>
      <c r="Y115" s="26" t="s">
        <v>50</v>
      </c>
      <c r="Z115" s="23"/>
      <c r="AA115" s="26" t="s">
        <v>50</v>
      </c>
      <c r="AB115" s="41">
        <f t="shared" si="7"/>
        <v>0</v>
      </c>
      <c r="AC115" s="23">
        <v>1</v>
      </c>
      <c r="AD115" s="23" t="s">
        <v>97</v>
      </c>
      <c r="AE115" s="24">
        <v>42277</v>
      </c>
      <c r="AF115" s="23" t="s">
        <v>92</v>
      </c>
      <c r="AG115" s="23">
        <f t="shared" si="8"/>
        <v>0</v>
      </c>
      <c r="AH115" s="23"/>
      <c r="AI115" s="27" t="str">
        <f t="shared" si="9"/>
        <v>P20</v>
      </c>
      <c r="AJ115" s="23"/>
      <c r="AK115" s="23"/>
      <c r="AL115" s="26" t="s">
        <v>50</v>
      </c>
      <c r="AM115" s="28" t="s">
        <v>58</v>
      </c>
    </row>
    <row r="116" spans="2:39" x14ac:dyDescent="0.3">
      <c r="B116" s="32"/>
      <c r="C116" s="6"/>
      <c r="F116" s="6"/>
      <c r="G116" s="5"/>
      <c r="H116" s="5"/>
      <c r="N116" s="23"/>
      <c r="O116" s="25"/>
      <c r="P116" s="23"/>
      <c r="Q116" s="23"/>
      <c r="R116" s="26" t="s">
        <v>50</v>
      </c>
      <c r="S116" s="23"/>
      <c r="T116" s="26" t="s">
        <v>50</v>
      </c>
      <c r="U116" s="27" t="s">
        <v>95</v>
      </c>
      <c r="V116" s="40">
        <f t="shared" si="5"/>
        <v>0</v>
      </c>
      <c r="W116" s="40">
        <f t="shared" si="6"/>
        <v>0</v>
      </c>
      <c r="X116" s="23" t="s">
        <v>92</v>
      </c>
      <c r="Y116" s="26" t="s">
        <v>50</v>
      </c>
      <c r="Z116" s="23"/>
      <c r="AA116" s="26" t="s">
        <v>50</v>
      </c>
      <c r="AB116" s="41">
        <f t="shared" si="7"/>
        <v>0</v>
      </c>
      <c r="AC116" s="23">
        <v>1</v>
      </c>
      <c r="AD116" s="23" t="s">
        <v>97</v>
      </c>
      <c r="AE116" s="24">
        <v>42277</v>
      </c>
      <c r="AF116" s="23" t="s">
        <v>92</v>
      </c>
      <c r="AG116" s="23">
        <f t="shared" si="8"/>
        <v>0</v>
      </c>
      <c r="AH116" s="23"/>
      <c r="AI116" s="27" t="str">
        <f t="shared" si="9"/>
        <v>P20</v>
      </c>
      <c r="AJ116" s="23"/>
      <c r="AK116" s="23"/>
      <c r="AL116" s="26" t="s">
        <v>50</v>
      </c>
      <c r="AM116" s="28" t="s">
        <v>58</v>
      </c>
    </row>
    <row r="117" spans="2:39" x14ac:dyDescent="0.3">
      <c r="B117" s="32"/>
      <c r="C117" s="6"/>
      <c r="F117" s="6"/>
      <c r="G117" s="5"/>
      <c r="H117" s="5"/>
      <c r="N117" s="23"/>
      <c r="O117" s="25"/>
      <c r="P117" s="23"/>
      <c r="Q117" s="23"/>
      <c r="R117" s="26" t="s">
        <v>50</v>
      </c>
      <c r="S117" s="23"/>
      <c r="T117" s="26" t="s">
        <v>50</v>
      </c>
      <c r="U117" s="27" t="s">
        <v>95</v>
      </c>
      <c r="V117" s="40">
        <f t="shared" si="5"/>
        <v>0</v>
      </c>
      <c r="W117" s="40">
        <f t="shared" si="6"/>
        <v>0</v>
      </c>
      <c r="X117" s="23" t="s">
        <v>92</v>
      </c>
      <c r="Y117" s="26" t="s">
        <v>50</v>
      </c>
      <c r="Z117" s="23"/>
      <c r="AA117" s="26" t="s">
        <v>50</v>
      </c>
      <c r="AB117" s="41">
        <f t="shared" si="7"/>
        <v>0</v>
      </c>
      <c r="AC117" s="23">
        <v>1</v>
      </c>
      <c r="AD117" s="23" t="s">
        <v>97</v>
      </c>
      <c r="AE117" s="24">
        <v>42277</v>
      </c>
      <c r="AF117" s="23" t="s">
        <v>92</v>
      </c>
      <c r="AG117" s="23">
        <f t="shared" si="8"/>
        <v>0</v>
      </c>
      <c r="AH117" s="23"/>
      <c r="AI117" s="27" t="str">
        <f t="shared" si="9"/>
        <v>P20</v>
      </c>
      <c r="AJ117" s="23"/>
      <c r="AK117" s="23"/>
      <c r="AL117" s="26" t="s">
        <v>50</v>
      </c>
      <c r="AM117" s="28" t="s">
        <v>58</v>
      </c>
    </row>
    <row r="118" spans="2:39" x14ac:dyDescent="0.3">
      <c r="B118" s="32"/>
      <c r="C118" s="6"/>
      <c r="F118" s="6"/>
      <c r="G118" s="5"/>
      <c r="H118" s="5"/>
      <c r="N118" s="23"/>
      <c r="O118" s="25"/>
      <c r="P118" s="23"/>
      <c r="Q118" s="23"/>
      <c r="R118" s="26" t="s">
        <v>50</v>
      </c>
      <c r="S118" s="23"/>
      <c r="T118" s="26" t="s">
        <v>50</v>
      </c>
      <c r="U118" s="27" t="s">
        <v>95</v>
      </c>
      <c r="V118" s="40">
        <f t="shared" si="5"/>
        <v>0</v>
      </c>
      <c r="W118" s="40">
        <f t="shared" si="6"/>
        <v>0</v>
      </c>
      <c r="X118" s="23" t="s">
        <v>92</v>
      </c>
      <c r="Y118" s="26" t="s">
        <v>50</v>
      </c>
      <c r="Z118" s="23"/>
      <c r="AA118" s="26" t="s">
        <v>50</v>
      </c>
      <c r="AB118" s="41">
        <f t="shared" si="7"/>
        <v>0</v>
      </c>
      <c r="AC118" s="23">
        <v>1</v>
      </c>
      <c r="AD118" s="23" t="s">
        <v>97</v>
      </c>
      <c r="AE118" s="24">
        <v>42277</v>
      </c>
      <c r="AF118" s="23" t="s">
        <v>92</v>
      </c>
      <c r="AG118" s="23">
        <f t="shared" si="8"/>
        <v>0</v>
      </c>
      <c r="AH118" s="23"/>
      <c r="AI118" s="27" t="str">
        <f t="shared" si="9"/>
        <v>P20</v>
      </c>
      <c r="AJ118" s="23"/>
      <c r="AK118" s="23"/>
      <c r="AL118" s="26" t="s">
        <v>50</v>
      </c>
      <c r="AM118" s="28" t="s">
        <v>58</v>
      </c>
    </row>
    <row r="119" spans="2:39" x14ac:dyDescent="0.3">
      <c r="B119" s="32"/>
      <c r="C119" s="6"/>
      <c r="F119" s="6"/>
      <c r="G119" s="5"/>
      <c r="H119" s="5"/>
      <c r="N119" s="23"/>
      <c r="O119" s="25"/>
      <c r="P119" s="23"/>
      <c r="Q119" s="23"/>
      <c r="R119" s="26" t="s">
        <v>50</v>
      </c>
      <c r="S119" s="23"/>
      <c r="T119" s="26" t="s">
        <v>50</v>
      </c>
      <c r="U119" s="27" t="s">
        <v>95</v>
      </c>
      <c r="V119" s="40">
        <f t="shared" ref="V119:V125" si="10">F119</f>
        <v>0</v>
      </c>
      <c r="W119" s="40">
        <f t="shared" ref="W119:W125" si="11">C119-F119</f>
        <v>0</v>
      </c>
      <c r="X119" s="23" t="s">
        <v>92</v>
      </c>
      <c r="Y119" s="26" t="s">
        <v>50</v>
      </c>
      <c r="Z119" s="23"/>
      <c r="AA119" s="26" t="s">
        <v>50</v>
      </c>
      <c r="AB119" s="41">
        <f t="shared" ref="AB119:AB125" si="12">W119</f>
        <v>0</v>
      </c>
      <c r="AC119" s="23">
        <v>1</v>
      </c>
      <c r="AD119" s="23" t="s">
        <v>97</v>
      </c>
      <c r="AE119" s="24">
        <v>42277</v>
      </c>
      <c r="AF119" s="23" t="s">
        <v>92</v>
      </c>
      <c r="AG119" s="23">
        <f t="shared" ref="AG119:AG125" si="13">J119</f>
        <v>0</v>
      </c>
      <c r="AH119" s="23"/>
      <c r="AI119" s="27" t="str">
        <f t="shared" ref="AI119:AI125" si="14">U119</f>
        <v>P20</v>
      </c>
      <c r="AJ119" s="23"/>
      <c r="AK119" s="23"/>
      <c r="AL119" s="26" t="s">
        <v>50</v>
      </c>
      <c r="AM119" s="28" t="s">
        <v>58</v>
      </c>
    </row>
    <row r="120" spans="2:39" x14ac:dyDescent="0.3">
      <c r="B120" s="32"/>
      <c r="C120" s="6"/>
      <c r="F120" s="6"/>
      <c r="G120" s="5"/>
      <c r="H120" s="5"/>
      <c r="N120" s="23"/>
      <c r="O120" s="25"/>
      <c r="P120" s="23"/>
      <c r="Q120" s="23"/>
      <c r="R120" s="26" t="s">
        <v>50</v>
      </c>
      <c r="S120" s="23"/>
      <c r="T120" s="26" t="s">
        <v>50</v>
      </c>
      <c r="U120" s="27" t="s">
        <v>95</v>
      </c>
      <c r="V120" s="40">
        <f t="shared" si="10"/>
        <v>0</v>
      </c>
      <c r="W120" s="40">
        <f t="shared" si="11"/>
        <v>0</v>
      </c>
      <c r="X120" s="23" t="s">
        <v>92</v>
      </c>
      <c r="Y120" s="26" t="s">
        <v>50</v>
      </c>
      <c r="Z120" s="23"/>
      <c r="AA120" s="26" t="s">
        <v>50</v>
      </c>
      <c r="AB120" s="41">
        <f t="shared" si="12"/>
        <v>0</v>
      </c>
      <c r="AC120" s="23">
        <v>1</v>
      </c>
      <c r="AD120" s="23" t="s">
        <v>97</v>
      </c>
      <c r="AE120" s="24">
        <v>42277</v>
      </c>
      <c r="AF120" s="23" t="s">
        <v>92</v>
      </c>
      <c r="AG120" s="23">
        <f t="shared" si="13"/>
        <v>0</v>
      </c>
      <c r="AH120" s="23"/>
      <c r="AI120" s="27" t="str">
        <f t="shared" si="14"/>
        <v>P20</v>
      </c>
      <c r="AJ120" s="23"/>
      <c r="AK120" s="23"/>
      <c r="AL120" s="26" t="s">
        <v>50</v>
      </c>
      <c r="AM120" s="28" t="s">
        <v>58</v>
      </c>
    </row>
    <row r="121" spans="2:39" x14ac:dyDescent="0.3">
      <c r="B121" s="32"/>
      <c r="C121" s="6"/>
      <c r="F121" s="6"/>
      <c r="G121" s="5"/>
      <c r="H121" s="5"/>
      <c r="N121" s="23"/>
      <c r="O121" s="25"/>
      <c r="P121" s="23"/>
      <c r="Q121" s="23"/>
      <c r="R121" s="26" t="s">
        <v>50</v>
      </c>
      <c r="S121" s="23"/>
      <c r="T121" s="26" t="s">
        <v>50</v>
      </c>
      <c r="U121" s="27" t="s">
        <v>95</v>
      </c>
      <c r="V121" s="40">
        <f t="shared" si="10"/>
        <v>0</v>
      </c>
      <c r="W121" s="40">
        <f t="shared" si="11"/>
        <v>0</v>
      </c>
      <c r="X121" s="23" t="s">
        <v>92</v>
      </c>
      <c r="Y121" s="26" t="s">
        <v>50</v>
      </c>
      <c r="Z121" s="23"/>
      <c r="AA121" s="26" t="s">
        <v>50</v>
      </c>
      <c r="AB121" s="41">
        <f t="shared" si="12"/>
        <v>0</v>
      </c>
      <c r="AC121" s="23">
        <v>1</v>
      </c>
      <c r="AD121" s="23" t="s">
        <v>97</v>
      </c>
      <c r="AE121" s="24">
        <v>42277</v>
      </c>
      <c r="AF121" s="23" t="s">
        <v>92</v>
      </c>
      <c r="AG121" s="23">
        <f t="shared" si="13"/>
        <v>0</v>
      </c>
      <c r="AH121" s="23"/>
      <c r="AI121" s="27" t="str">
        <f t="shared" si="14"/>
        <v>P20</v>
      </c>
      <c r="AJ121" s="23"/>
      <c r="AK121" s="23"/>
      <c r="AL121" s="26" t="s">
        <v>50</v>
      </c>
      <c r="AM121" s="28" t="s">
        <v>58</v>
      </c>
    </row>
    <row r="122" spans="2:39" x14ac:dyDescent="0.3">
      <c r="B122" s="32"/>
      <c r="C122" s="6"/>
      <c r="F122" s="6"/>
      <c r="G122" s="5"/>
      <c r="H122" s="5"/>
      <c r="N122" s="23"/>
      <c r="O122" s="25"/>
      <c r="P122" s="23"/>
      <c r="Q122" s="23"/>
      <c r="R122" s="26" t="s">
        <v>50</v>
      </c>
      <c r="S122" s="23"/>
      <c r="T122" s="26" t="s">
        <v>50</v>
      </c>
      <c r="U122" s="27" t="s">
        <v>95</v>
      </c>
      <c r="V122" s="40">
        <f t="shared" si="10"/>
        <v>0</v>
      </c>
      <c r="W122" s="40">
        <f t="shared" si="11"/>
        <v>0</v>
      </c>
      <c r="X122" s="23" t="s">
        <v>92</v>
      </c>
      <c r="Y122" s="26" t="s">
        <v>50</v>
      </c>
      <c r="Z122" s="23"/>
      <c r="AA122" s="26" t="s">
        <v>50</v>
      </c>
      <c r="AB122" s="41">
        <f t="shared" si="12"/>
        <v>0</v>
      </c>
      <c r="AC122" s="23">
        <v>1</v>
      </c>
      <c r="AD122" s="23" t="s">
        <v>97</v>
      </c>
      <c r="AE122" s="24">
        <v>42277</v>
      </c>
      <c r="AF122" s="23" t="s">
        <v>92</v>
      </c>
      <c r="AG122" s="23">
        <f t="shared" si="13"/>
        <v>0</v>
      </c>
      <c r="AH122" s="23"/>
      <c r="AI122" s="27" t="str">
        <f t="shared" si="14"/>
        <v>P20</v>
      </c>
      <c r="AJ122" s="23"/>
      <c r="AK122" s="23"/>
      <c r="AL122" s="26" t="s">
        <v>50</v>
      </c>
      <c r="AM122" s="28" t="s">
        <v>58</v>
      </c>
    </row>
    <row r="123" spans="2:39" x14ac:dyDescent="0.3">
      <c r="B123" s="32"/>
      <c r="C123" s="6"/>
      <c r="F123" s="6"/>
      <c r="G123" s="5"/>
      <c r="H123" s="5"/>
      <c r="N123" s="23"/>
      <c r="O123" s="25"/>
      <c r="P123" s="23"/>
      <c r="Q123" s="23"/>
      <c r="R123" s="26" t="s">
        <v>50</v>
      </c>
      <c r="S123" s="23"/>
      <c r="T123" s="26" t="s">
        <v>50</v>
      </c>
      <c r="U123" s="27" t="s">
        <v>95</v>
      </c>
      <c r="V123" s="40">
        <f t="shared" si="10"/>
        <v>0</v>
      </c>
      <c r="W123" s="40">
        <f t="shared" si="11"/>
        <v>0</v>
      </c>
      <c r="X123" s="23" t="s">
        <v>92</v>
      </c>
      <c r="Y123" s="26" t="s">
        <v>50</v>
      </c>
      <c r="Z123" s="23"/>
      <c r="AA123" s="26" t="s">
        <v>50</v>
      </c>
      <c r="AB123" s="41">
        <f t="shared" si="12"/>
        <v>0</v>
      </c>
      <c r="AC123" s="23">
        <v>1</v>
      </c>
      <c r="AD123" s="23" t="s">
        <v>97</v>
      </c>
      <c r="AE123" s="24">
        <v>42277</v>
      </c>
      <c r="AF123" s="23" t="s">
        <v>92</v>
      </c>
      <c r="AG123" s="23">
        <f t="shared" si="13"/>
        <v>0</v>
      </c>
      <c r="AH123" s="23"/>
      <c r="AI123" s="27" t="str">
        <f t="shared" si="14"/>
        <v>P20</v>
      </c>
      <c r="AJ123" s="23"/>
      <c r="AK123" s="23"/>
      <c r="AL123" s="26" t="s">
        <v>50</v>
      </c>
      <c r="AM123" s="28" t="s">
        <v>58</v>
      </c>
    </row>
    <row r="124" spans="2:39" x14ac:dyDescent="0.3">
      <c r="B124" s="32"/>
      <c r="C124" s="6"/>
      <c r="F124" s="6"/>
      <c r="G124" s="5"/>
      <c r="H124" s="5"/>
      <c r="N124" s="23"/>
      <c r="O124" s="25"/>
      <c r="P124" s="23"/>
      <c r="Q124" s="23"/>
      <c r="R124" s="26" t="s">
        <v>50</v>
      </c>
      <c r="S124" s="23"/>
      <c r="T124" s="26" t="s">
        <v>50</v>
      </c>
      <c r="U124" s="27" t="s">
        <v>95</v>
      </c>
      <c r="V124" s="40">
        <f t="shared" si="10"/>
        <v>0</v>
      </c>
      <c r="W124" s="40">
        <f t="shared" si="11"/>
        <v>0</v>
      </c>
      <c r="X124" s="23" t="s">
        <v>92</v>
      </c>
      <c r="Y124" s="26" t="s">
        <v>50</v>
      </c>
      <c r="Z124" s="23"/>
      <c r="AA124" s="26" t="s">
        <v>50</v>
      </c>
      <c r="AB124" s="41">
        <f t="shared" si="12"/>
        <v>0</v>
      </c>
      <c r="AC124" s="23">
        <v>1</v>
      </c>
      <c r="AD124" s="23" t="s">
        <v>97</v>
      </c>
      <c r="AE124" s="24">
        <v>42277</v>
      </c>
      <c r="AF124" s="23" t="s">
        <v>92</v>
      </c>
      <c r="AG124" s="23">
        <f t="shared" si="13"/>
        <v>0</v>
      </c>
      <c r="AH124" s="23"/>
      <c r="AI124" s="27" t="str">
        <f t="shared" si="14"/>
        <v>P20</v>
      </c>
      <c r="AJ124" s="23"/>
      <c r="AK124" s="23"/>
      <c r="AL124" s="26" t="s">
        <v>50</v>
      </c>
      <c r="AM124" s="28" t="s">
        <v>58</v>
      </c>
    </row>
    <row r="125" spans="2:39" x14ac:dyDescent="0.3">
      <c r="B125" s="32"/>
      <c r="C125" s="6"/>
      <c r="F125" s="6"/>
      <c r="G125" s="5"/>
      <c r="H125" s="5"/>
      <c r="N125" s="23"/>
      <c r="O125" s="25"/>
      <c r="P125" s="23"/>
      <c r="Q125" s="23"/>
      <c r="R125" s="26" t="s">
        <v>50</v>
      </c>
      <c r="S125" s="23"/>
      <c r="T125" s="26" t="s">
        <v>50</v>
      </c>
      <c r="U125" s="27" t="s">
        <v>95</v>
      </c>
      <c r="V125" s="40">
        <f t="shared" si="10"/>
        <v>0</v>
      </c>
      <c r="W125" s="40">
        <f t="shared" si="11"/>
        <v>0</v>
      </c>
      <c r="X125" s="23" t="s">
        <v>92</v>
      </c>
      <c r="Y125" s="26" t="s">
        <v>50</v>
      </c>
      <c r="Z125" s="23"/>
      <c r="AA125" s="26" t="s">
        <v>50</v>
      </c>
      <c r="AB125" s="41">
        <f t="shared" si="12"/>
        <v>0</v>
      </c>
      <c r="AC125" s="23">
        <v>1</v>
      </c>
      <c r="AD125" s="23" t="s">
        <v>97</v>
      </c>
      <c r="AE125" s="24">
        <v>42277</v>
      </c>
      <c r="AF125" s="23" t="s">
        <v>92</v>
      </c>
      <c r="AG125" s="23">
        <f t="shared" si="13"/>
        <v>0</v>
      </c>
      <c r="AH125" s="23"/>
      <c r="AI125" s="27" t="str">
        <f t="shared" si="14"/>
        <v>P20</v>
      </c>
      <c r="AJ125" s="23"/>
      <c r="AK125" s="23"/>
      <c r="AL125" s="26" t="s">
        <v>50</v>
      </c>
      <c r="AM125" s="28" t="s">
        <v>58</v>
      </c>
    </row>
  </sheetData>
  <autoFilter ref="A1:AM54">
    <filterColumn colId="29">
      <filters>
        <filter val="1001.L730.L"/>
        <filter val="1001.M640.M"/>
        <filter val="1001.P940.P"/>
        <filter val="1001.X540.X"/>
        <filter val="1001.X710.X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R125"/>
  <sheetViews>
    <sheetView tabSelected="1" zoomScale="90" zoomScaleNormal="90" workbookViewId="0">
      <selection activeCell="B4" sqref="B4"/>
    </sheetView>
  </sheetViews>
  <sheetFormatPr defaultColWidth="11" defaultRowHeight="15.6" x14ac:dyDescent="0.3"/>
  <cols>
    <col min="1" max="1" width="7" bestFit="1" customWidth="1"/>
    <col min="2" max="2" width="4" bestFit="1" customWidth="1"/>
    <col min="3" max="3" width="3.69921875" bestFit="1" customWidth="1"/>
    <col min="4" max="4" width="33.296875" bestFit="1" customWidth="1"/>
    <col min="5" max="5" width="8.69921875" bestFit="1" customWidth="1"/>
    <col min="6" max="6" width="15.296875" bestFit="1" customWidth="1"/>
    <col min="7" max="7" width="6.5" bestFit="1" customWidth="1"/>
    <col min="8" max="8" width="8" bestFit="1" customWidth="1"/>
    <col min="9" max="9" width="14.69921875" bestFit="1" customWidth="1"/>
    <col min="10" max="10" width="9.296875" bestFit="1" customWidth="1"/>
    <col min="11" max="11" width="12.296875" bestFit="1" customWidth="1"/>
    <col min="12" max="12" width="15.296875" bestFit="1" customWidth="1"/>
    <col min="13" max="13" width="10.296875" bestFit="1" customWidth="1"/>
    <col min="14" max="14" width="27.69921875" customWidth="1"/>
    <col min="15" max="15" width="12" bestFit="1" customWidth="1"/>
    <col min="16" max="16" width="10.796875" bestFit="1" customWidth="1"/>
    <col min="17" max="17" width="14.296875" bestFit="1" customWidth="1"/>
    <col min="18" max="18" width="12.796875" bestFit="1" customWidth="1"/>
    <col min="19" max="19" width="8.69921875" bestFit="1" customWidth="1"/>
    <col min="20" max="20" width="6.5" bestFit="1" customWidth="1"/>
    <col min="21" max="21" width="3.69921875" bestFit="1" customWidth="1"/>
    <col min="22" max="22" width="5.296875" bestFit="1" customWidth="1"/>
    <col min="23" max="23" width="3.69921875" bestFit="1" customWidth="1"/>
    <col min="24" max="24" width="13" bestFit="1" customWidth="1"/>
    <col min="25" max="25" width="14.69921875" bestFit="1" customWidth="1"/>
    <col min="26" max="26" width="15" bestFit="1" customWidth="1"/>
    <col min="27" max="27" width="9.69921875" bestFit="1" customWidth="1"/>
    <col min="28" max="28" width="3.69921875" bestFit="1" customWidth="1"/>
    <col min="29" max="29" width="5.296875" bestFit="1" customWidth="1"/>
    <col min="30" max="30" width="3.69921875" bestFit="1" customWidth="1"/>
    <col min="31" max="31" width="15" bestFit="1" customWidth="1"/>
    <col min="32" max="32" width="9.19921875" bestFit="1" customWidth="1"/>
    <col min="33" max="33" width="14.5" bestFit="1" customWidth="1"/>
    <col min="34" max="34" width="9.796875" bestFit="1" customWidth="1"/>
    <col min="35" max="35" width="8.69921875" bestFit="1" customWidth="1"/>
    <col min="36" max="36" width="10.296875" bestFit="1" customWidth="1"/>
    <col min="37" max="37" width="10.296875" customWidth="1"/>
    <col min="38" max="38" width="13.19921875" bestFit="1" customWidth="1"/>
    <col min="39" max="40" width="9" customWidth="1"/>
    <col min="41" max="42" width="3.69921875" bestFit="1" customWidth="1"/>
    <col min="45" max="45" width="11.19921875" bestFit="1" customWidth="1"/>
    <col min="46" max="46" width="9" bestFit="1" customWidth="1"/>
  </cols>
  <sheetData>
    <row r="1" spans="1:44" x14ac:dyDescent="0.3">
      <c r="A1" t="s">
        <v>48</v>
      </c>
      <c r="B1" t="s">
        <v>49</v>
      </c>
      <c r="C1" s="7" t="s">
        <v>50</v>
      </c>
      <c r="D1" s="4" t="s">
        <v>4</v>
      </c>
      <c r="E1" s="8" t="s">
        <v>5</v>
      </c>
      <c r="F1" s="1" t="s">
        <v>6</v>
      </c>
      <c r="G1" s="1" t="s">
        <v>51</v>
      </c>
      <c r="H1" s="1" t="s">
        <v>7</v>
      </c>
      <c r="I1" s="9" t="s">
        <v>8</v>
      </c>
      <c r="J1" s="1" t="s">
        <v>9</v>
      </c>
      <c r="K1" s="1" t="s">
        <v>10</v>
      </c>
      <c r="L1" s="9" t="s">
        <v>11</v>
      </c>
      <c r="M1" s="1" t="s">
        <v>12</v>
      </c>
      <c r="N1" s="4" t="s">
        <v>1</v>
      </c>
      <c r="O1" s="1" t="s">
        <v>13</v>
      </c>
      <c r="P1" s="10" t="s">
        <v>14</v>
      </c>
      <c r="Q1" s="1" t="s">
        <v>15</v>
      </c>
      <c r="R1" s="4" t="s">
        <v>16</v>
      </c>
      <c r="S1" s="1" t="s">
        <v>17</v>
      </c>
      <c r="T1" s="1" t="s">
        <v>52</v>
      </c>
      <c r="U1" s="11" t="s">
        <v>50</v>
      </c>
      <c r="V1" s="12" t="s">
        <v>53</v>
      </c>
      <c r="W1" s="11" t="s">
        <v>50</v>
      </c>
      <c r="X1" s="4" t="s">
        <v>18</v>
      </c>
      <c r="Y1" s="9" t="s">
        <v>8</v>
      </c>
      <c r="Z1" s="9" t="s">
        <v>19</v>
      </c>
      <c r="AA1" s="1" t="s">
        <v>54</v>
      </c>
      <c r="AB1" s="13" t="s">
        <v>50</v>
      </c>
      <c r="AC1" s="12" t="s">
        <v>53</v>
      </c>
      <c r="AD1" s="13" t="s">
        <v>50</v>
      </c>
      <c r="AE1" s="1" t="s">
        <v>19</v>
      </c>
      <c r="AF1" s="1" t="s">
        <v>55</v>
      </c>
      <c r="AG1" s="4" t="s">
        <v>56</v>
      </c>
      <c r="AH1" s="14" t="s">
        <v>20</v>
      </c>
      <c r="AI1" s="1" t="s">
        <v>57</v>
      </c>
      <c r="AJ1" s="1" t="s">
        <v>12</v>
      </c>
      <c r="AK1" s="1" t="s">
        <v>13</v>
      </c>
      <c r="AL1" s="4" t="s">
        <v>105</v>
      </c>
      <c r="AM1" s="1"/>
      <c r="AN1" s="1"/>
      <c r="AO1" s="7" t="s">
        <v>50</v>
      </c>
      <c r="AP1" s="12" t="s">
        <v>58</v>
      </c>
    </row>
    <row r="2" spans="1:44" x14ac:dyDescent="0.3">
      <c r="A2" s="7"/>
      <c r="B2" s="7"/>
      <c r="C2" s="7"/>
      <c r="D2" s="15" t="s">
        <v>21</v>
      </c>
      <c r="E2" s="15" t="s">
        <v>22</v>
      </c>
      <c r="F2" s="15" t="s">
        <v>23</v>
      </c>
      <c r="G2" s="15"/>
      <c r="H2" s="15" t="s">
        <v>24</v>
      </c>
      <c r="I2" s="16" t="s">
        <v>25</v>
      </c>
      <c r="J2" s="15" t="s">
        <v>26</v>
      </c>
      <c r="K2" s="15" t="s">
        <v>27</v>
      </c>
      <c r="L2" s="16" t="s">
        <v>28</v>
      </c>
      <c r="M2" s="15" t="s">
        <v>29</v>
      </c>
      <c r="N2" s="15" t="s">
        <v>30</v>
      </c>
      <c r="O2" s="15" t="s">
        <v>31</v>
      </c>
      <c r="P2" s="17" t="s">
        <v>32</v>
      </c>
      <c r="Q2" s="15" t="s">
        <v>33</v>
      </c>
      <c r="R2" s="15" t="s">
        <v>34</v>
      </c>
      <c r="S2" s="15" t="s">
        <v>35</v>
      </c>
      <c r="T2" s="15"/>
      <c r="U2" s="4"/>
      <c r="V2" s="4"/>
      <c r="W2" s="4"/>
      <c r="X2" s="4" t="s">
        <v>36</v>
      </c>
      <c r="Y2" s="18" t="s">
        <v>25</v>
      </c>
      <c r="Z2" s="18" t="s">
        <v>37</v>
      </c>
      <c r="AA2" s="4" t="s">
        <v>59</v>
      </c>
      <c r="AB2" s="19"/>
      <c r="AC2" s="19"/>
      <c r="AD2" s="19"/>
      <c r="AE2" s="19" t="s">
        <v>37</v>
      </c>
      <c r="AF2" s="19" t="s">
        <v>43</v>
      </c>
      <c r="AG2" s="19" t="s">
        <v>60</v>
      </c>
      <c r="AH2" s="20" t="s">
        <v>38</v>
      </c>
      <c r="AI2" s="19" t="s">
        <v>61</v>
      </c>
      <c r="AJ2" s="19" t="s">
        <v>29</v>
      </c>
      <c r="AK2" s="19" t="s">
        <v>31</v>
      </c>
      <c r="AL2" s="4" t="s">
        <v>102</v>
      </c>
      <c r="AM2" s="19"/>
      <c r="AN2" s="19"/>
      <c r="AO2" s="7"/>
      <c r="AP2" s="9"/>
      <c r="AQ2" s="7"/>
      <c r="AR2" s="7"/>
    </row>
    <row r="3" spans="1:44" x14ac:dyDescent="0.3">
      <c r="A3" s="7"/>
      <c r="B3" s="7"/>
      <c r="C3" s="7"/>
      <c r="D3" s="1" t="s">
        <v>40</v>
      </c>
      <c r="E3" s="1" t="s">
        <v>41</v>
      </c>
      <c r="F3" s="1" t="s">
        <v>42</v>
      </c>
      <c r="G3" s="1" t="s">
        <v>40</v>
      </c>
      <c r="H3" s="1" t="s">
        <v>40</v>
      </c>
      <c r="I3" s="2" t="s">
        <v>42</v>
      </c>
      <c r="J3" s="1" t="s">
        <v>41</v>
      </c>
      <c r="K3" s="1" t="s">
        <v>41</v>
      </c>
      <c r="L3" s="9" t="s">
        <v>42</v>
      </c>
      <c r="M3" s="3" t="s">
        <v>40</v>
      </c>
      <c r="N3" s="1" t="s">
        <v>40</v>
      </c>
      <c r="O3" s="3" t="s">
        <v>62</v>
      </c>
      <c r="P3" s="10" t="s">
        <v>40</v>
      </c>
      <c r="Q3" s="1" t="s">
        <v>40</v>
      </c>
      <c r="R3" s="1" t="s">
        <v>40</v>
      </c>
      <c r="S3" s="1" t="s">
        <v>40</v>
      </c>
      <c r="T3" s="1" t="s">
        <v>40</v>
      </c>
      <c r="U3" s="4"/>
      <c r="V3" s="3"/>
      <c r="W3" s="4"/>
      <c r="X3" s="1" t="s">
        <v>40</v>
      </c>
      <c r="Y3" s="9" t="s">
        <v>42</v>
      </c>
      <c r="Z3" s="2" t="s">
        <v>42</v>
      </c>
      <c r="AA3" s="3"/>
      <c r="AB3" s="19"/>
      <c r="AC3" s="3"/>
      <c r="AD3" s="19"/>
      <c r="AE3" s="3" t="s">
        <v>42</v>
      </c>
      <c r="AF3" s="1" t="s">
        <v>40</v>
      </c>
      <c r="AG3" s="1" t="s">
        <v>40</v>
      </c>
      <c r="AH3" s="14" t="s">
        <v>41</v>
      </c>
      <c r="AI3" s="1" t="s">
        <v>39</v>
      </c>
      <c r="AJ3" s="3" t="s">
        <v>40</v>
      </c>
      <c r="AK3" s="3" t="s">
        <v>40</v>
      </c>
      <c r="AL3" s="1" t="s">
        <v>40</v>
      </c>
      <c r="AM3" s="3"/>
      <c r="AN3" s="3"/>
      <c r="AO3" s="7"/>
      <c r="AP3" s="9"/>
      <c r="AQ3" s="7"/>
      <c r="AR3" s="7"/>
    </row>
    <row r="4" spans="1:44" x14ac:dyDescent="0.3">
      <c r="A4" s="7" t="s">
        <v>63</v>
      </c>
      <c r="B4" s="29" t="s">
        <v>64</v>
      </c>
      <c r="C4" s="7" t="s">
        <v>50</v>
      </c>
      <c r="D4" t="str">
        <f t="shared" ref="D4:D67" ca="1" si="0">Quotes&amp;IF(INDIRECT(D$1,TRUE)="","""",UPPER(INDIRECT(D$1,TRUE))&amp;Quotes)</f>
        <v>""</v>
      </c>
      <c r="E4" s="14">
        <f ca="1">INDIRECT(E$1)</f>
        <v>0</v>
      </c>
      <c r="F4" s="6">
        <f ca="1">IF(INDIRECT($H$1)="PCRN",-INDIRECT(F$1),INDIRECT(F$1))</f>
        <v>0</v>
      </c>
      <c r="G4" t="s">
        <v>65</v>
      </c>
      <c r="H4" t="str">
        <f t="shared" ref="H4:H67" ca="1" si="1">Quotes&amp;IF(INDIRECT(H$1,TRUE)="PINV","PINN"&amp;Quotes,UPPER(INDIRECT(H$1,TRUE))&amp;Quotes)</f>
        <v>""</v>
      </c>
      <c r="I4" s="9">
        <f ca="1">IF(INDIRECT($H$1)="PCRN",-INDIRECT(I$1),INDIRECT(I$1))</f>
        <v>0</v>
      </c>
      <c r="J4" s="14">
        <f ca="1">INDIRECT(J$1)</f>
        <v>0</v>
      </c>
      <c r="K4" s="14">
        <f ca="1">INDIRECT(K$1)</f>
        <v>0</v>
      </c>
      <c r="L4" s="9">
        <f ca="1">IF(INDIRECT($H$1)="PCRN",-INDIRECT(L$1),INDIRECT(L$1))</f>
        <v>0</v>
      </c>
      <c r="M4" t="str">
        <f ca="1">Quotes&amp;Format!N5&amp;UPPER(INDIRECT(M$1,TRUE))&amp;Quotes</f>
        <v>""</v>
      </c>
      <c r="N4" t="str">
        <f t="shared" ref="N4:N67" ca="1" si="2">Quotes&amp;IF(INDIRECT(N$1,TRUE)="",","&amp;Quotes,UPPER(INDIRECT(N$1,TRUE))&amp;Quotes)</f>
        <v>","</v>
      </c>
      <c r="O4" t="s">
        <v>66</v>
      </c>
      <c r="P4" t="str">
        <f t="shared" ref="P4:S19" ca="1" si="3">Quotes&amp;IF(INDIRECT(P$1,TRUE)="","""",UPPER(INDIRECT(P$1,TRUE))&amp;Quotes)</f>
        <v>""</v>
      </c>
      <c r="Q4" t="str">
        <f t="shared" ca="1" si="3"/>
        <v>""</v>
      </c>
      <c r="R4" t="str">
        <f t="shared" ca="1" si="3"/>
        <v>""</v>
      </c>
      <c r="S4" t="str">
        <f t="shared" ca="1" si="3"/>
        <v>""</v>
      </c>
      <c r="T4" t="s">
        <v>66</v>
      </c>
      <c r="U4" s="11" t="s">
        <v>50</v>
      </c>
      <c r="V4" s="7" t="s">
        <v>67</v>
      </c>
      <c r="W4" s="11" t="s">
        <v>50</v>
      </c>
      <c r="X4" t="str">
        <f t="shared" ref="X4:X67" ca="1" si="4">Quotes&amp;IF(INDIRECT(X$1,TRUE)="","""",UPPER(INDIRECT(X$1,TRUE))&amp;Quotes)</f>
        <v>"P20"</v>
      </c>
      <c r="Y4" s="9">
        <f ca="1">IF(INDIRECT($H$1)="PCRN",-INDIRECT(Y$1),INDIRECT(Y$1))</f>
        <v>0</v>
      </c>
      <c r="Z4" s="9">
        <f ca="1">IF(INDIRECT($H$1)="PCRN",-INDIRECT(Z$1),INDIRECT(Z$1))</f>
        <v>0</v>
      </c>
      <c r="AA4" s="6" t="s">
        <v>45</v>
      </c>
      <c r="AB4" s="13" t="s">
        <v>50</v>
      </c>
      <c r="AC4" s="7" t="s">
        <v>68</v>
      </c>
      <c r="AD4" s="13" t="s">
        <v>50</v>
      </c>
      <c r="AE4" s="6">
        <f ca="1">IF(INDIRECT($H$1)="PCRN",-INDIRECT(AE$1),INDIRECT(AE$1))</f>
        <v>0</v>
      </c>
      <c r="AF4" t="str">
        <f t="shared" ref="AF4:AG23" ca="1" si="5">Quotes&amp;IF(INDIRECT(AF$1,TRUE)="","""",UPPER(INDIRECT(AF$1,TRUE))&amp;Quotes)</f>
        <v>"1"</v>
      </c>
      <c r="AG4" t="str">
        <f t="shared" ca="1" si="5"/>
        <v>"1001.M640.M"</v>
      </c>
      <c r="AH4" s="14">
        <f ca="1">INDIRECT(AH$1)</f>
        <v>42277</v>
      </c>
      <c r="AI4" s="6" t="s">
        <v>45</v>
      </c>
      <c r="AJ4" t="str">
        <f t="shared" ref="AJ4:AL67" ca="1" si="6">Quotes&amp;IF(INDIRECT(AJ$1,TRUE)="","""",UPPER(INDIRECT(AJ$1,TRUE))&amp;Quotes)</f>
        <v>""</v>
      </c>
      <c r="AK4" t="str">
        <f ca="1">Quotes&amp;IF(INDIRECT(AK$1,TRUE)="","""",UPPER(INDIRECT(AK$1,TRUE))&amp;Quotes)</f>
        <v>""</v>
      </c>
      <c r="AL4" t="str">
        <f ca="1">Quotes&amp;IF(INDIRECT(AL$1,TRUE)="","""",UPPER(INDIRECT(AL$1,TRUE))&amp;Quotes)</f>
        <v>"P20"</v>
      </c>
      <c r="AM4" t="s">
        <v>66</v>
      </c>
      <c r="AN4" t="s">
        <v>66</v>
      </c>
      <c r="AO4" s="7" t="s">
        <v>50</v>
      </c>
      <c r="AP4" s="12" t="s">
        <v>58</v>
      </c>
      <c r="AQ4" s="7"/>
      <c r="AR4" s="7"/>
    </row>
    <row r="5" spans="1:44" x14ac:dyDescent="0.3">
      <c r="A5" s="7" t="s">
        <v>63</v>
      </c>
      <c r="B5" s="7" t="s">
        <v>64</v>
      </c>
      <c r="C5" s="7" t="s">
        <v>50</v>
      </c>
      <c r="D5" t="str">
        <f t="shared" ca="1" si="0"/>
        <v>""</v>
      </c>
      <c r="E5" s="14">
        <f ca="1">INDIRECT(E$1)</f>
        <v>0</v>
      </c>
      <c r="F5" s="6">
        <f ca="1">IF(INDIRECT($H$1)="PCRN",-INDIRECT(F$1),INDIRECT(F$1))</f>
        <v>0</v>
      </c>
      <c r="G5" t="s">
        <v>65</v>
      </c>
      <c r="H5" t="str">
        <f t="shared" ca="1" si="1"/>
        <v>""</v>
      </c>
      <c r="I5" s="9">
        <f ca="1">IF(INDIRECT($H$1)="PCRN",-INDIRECT(I$1),INDIRECT(I$1))</f>
        <v>0</v>
      </c>
      <c r="J5" s="14">
        <f ca="1">INDIRECT(J$1)</f>
        <v>0</v>
      </c>
      <c r="K5" s="14">
        <f ca="1">INDIRECT(K$1)</f>
        <v>0</v>
      </c>
      <c r="L5" s="9">
        <v>0</v>
      </c>
      <c r="M5" t="str">
        <f ca="1">Quotes&amp;Format!N6&amp;UPPER(INDIRECT(M$1,TRUE))&amp;Quotes</f>
        <v>""</v>
      </c>
      <c r="N5" t="str">
        <f t="shared" ca="1" si="2"/>
        <v>","</v>
      </c>
      <c r="O5" t="s">
        <v>66</v>
      </c>
      <c r="P5" t="str">
        <f t="shared" ca="1" si="3"/>
        <v>""</v>
      </c>
      <c r="Q5" t="str">
        <f t="shared" ca="1" si="3"/>
        <v>""</v>
      </c>
      <c r="R5" t="str">
        <f t="shared" ca="1" si="3"/>
        <v>""</v>
      </c>
      <c r="S5" t="str">
        <f t="shared" ca="1" si="3"/>
        <v>""</v>
      </c>
      <c r="T5" t="s">
        <v>66</v>
      </c>
      <c r="U5" s="11" t="s">
        <v>50</v>
      </c>
      <c r="V5" s="7" t="s">
        <v>67</v>
      </c>
      <c r="W5" s="11" t="s">
        <v>50</v>
      </c>
      <c r="X5" t="str">
        <f t="shared" ca="1" si="4"/>
        <v>"P20"</v>
      </c>
      <c r="Y5" s="9">
        <f ca="1">IF(INDIRECT($H$1)="PCRN",-INDIRECT(Y$1),INDIRECT(Y$1))</f>
        <v>0</v>
      </c>
      <c r="Z5" s="9">
        <f ca="1">IF(INDIRECT($H$1)="PCRN",-INDIRECT(Z$1),INDIRECT(Z$1))</f>
        <v>0</v>
      </c>
      <c r="AA5" s="6" t="s">
        <v>45</v>
      </c>
      <c r="AB5" s="13" t="s">
        <v>50</v>
      </c>
      <c r="AC5" s="7" t="s">
        <v>68</v>
      </c>
      <c r="AD5" s="13" t="s">
        <v>50</v>
      </c>
      <c r="AE5" s="6">
        <f ca="1">IF(INDIRECT($H$1)="PCRN",-INDIRECT(AE$1),INDIRECT(AE$1))</f>
        <v>0</v>
      </c>
      <c r="AF5" t="str">
        <f t="shared" ca="1" si="5"/>
        <v>"1"</v>
      </c>
      <c r="AG5" t="str">
        <f t="shared" ca="1" si="5"/>
        <v>"1001.L730.L"</v>
      </c>
      <c r="AH5" s="14">
        <f ca="1">INDIRECT(AH$1)</f>
        <v>42277</v>
      </c>
      <c r="AI5" s="6" t="s">
        <v>45</v>
      </c>
      <c r="AJ5" t="str">
        <f t="shared" ca="1" si="6"/>
        <v>""</v>
      </c>
      <c r="AK5" t="str">
        <f t="shared" ca="1" si="6"/>
        <v>""</v>
      </c>
      <c r="AL5" t="str">
        <f t="shared" ca="1" si="6"/>
        <v>"P20"</v>
      </c>
      <c r="AM5" t="s">
        <v>66</v>
      </c>
      <c r="AN5" t="s">
        <v>66</v>
      </c>
      <c r="AO5" s="7" t="s">
        <v>50</v>
      </c>
      <c r="AP5" s="12" t="s">
        <v>58</v>
      </c>
    </row>
    <row r="6" spans="1:44" x14ac:dyDescent="0.3">
      <c r="A6" s="7" t="s">
        <v>63</v>
      </c>
      <c r="B6" s="7" t="s">
        <v>64</v>
      </c>
      <c r="C6" s="7" t="s">
        <v>50</v>
      </c>
      <c r="D6" t="str">
        <f t="shared" ca="1" si="0"/>
        <v>""</v>
      </c>
      <c r="E6" s="14">
        <f t="shared" ref="E6:E69" ca="1" si="7">INDIRECT(E$1)</f>
        <v>0</v>
      </c>
      <c r="F6" s="6">
        <f t="shared" ref="F6:F69" ca="1" si="8">IF(INDIRECT($H$1)="PCRN",-INDIRECT(F$1),INDIRECT(F$1))</f>
        <v>0</v>
      </c>
      <c r="G6" t="s">
        <v>65</v>
      </c>
      <c r="H6" t="str">
        <f t="shared" ca="1" si="1"/>
        <v>""</v>
      </c>
      <c r="I6" s="9">
        <f t="shared" ref="I6:I69" ca="1" si="9">IF(INDIRECT($H$1)="PCRN",-INDIRECT(I$1),INDIRECT(I$1))</f>
        <v>0</v>
      </c>
      <c r="J6" s="14">
        <f t="shared" ref="J6:K69" ca="1" si="10">INDIRECT(J$1)</f>
        <v>0</v>
      </c>
      <c r="K6" s="14">
        <f t="shared" ca="1" si="10"/>
        <v>0</v>
      </c>
      <c r="L6" s="9">
        <v>0</v>
      </c>
      <c r="M6" t="str">
        <f ca="1">Quotes&amp;Format!N7&amp;UPPER(INDIRECT(M$1,TRUE))&amp;Quotes</f>
        <v>""</v>
      </c>
      <c r="N6" t="str">
        <f t="shared" ca="1" si="2"/>
        <v>","</v>
      </c>
      <c r="O6" t="s">
        <v>66</v>
      </c>
      <c r="P6" t="str">
        <f t="shared" ca="1" si="3"/>
        <v>""</v>
      </c>
      <c r="Q6" t="str">
        <f t="shared" ca="1" si="3"/>
        <v>""</v>
      </c>
      <c r="R6" t="str">
        <f t="shared" ca="1" si="3"/>
        <v>""</v>
      </c>
      <c r="S6" t="str">
        <f t="shared" ca="1" si="3"/>
        <v>""</v>
      </c>
      <c r="T6" t="s">
        <v>66</v>
      </c>
      <c r="U6" s="11" t="s">
        <v>50</v>
      </c>
      <c r="V6" s="7" t="s">
        <v>67</v>
      </c>
      <c r="W6" s="11" t="s">
        <v>50</v>
      </c>
      <c r="X6" t="str">
        <f t="shared" ca="1" si="4"/>
        <v>"P20"</v>
      </c>
      <c r="Y6" s="9">
        <f t="shared" ref="Y6:Z69" ca="1" si="11">IF(INDIRECT($H$1)="PCRN",-INDIRECT(Y$1),INDIRECT(Y$1))</f>
        <v>0</v>
      </c>
      <c r="Z6" s="9">
        <f t="shared" ca="1" si="11"/>
        <v>0</v>
      </c>
      <c r="AA6" s="6" t="s">
        <v>45</v>
      </c>
      <c r="AB6" s="13" t="s">
        <v>50</v>
      </c>
      <c r="AC6" s="7" t="s">
        <v>68</v>
      </c>
      <c r="AD6" s="13" t="s">
        <v>50</v>
      </c>
      <c r="AE6" s="6">
        <f t="shared" ref="AE6:AE69" ca="1" si="12">IF(INDIRECT($H$1)="PCRN",-INDIRECT(AE$1),INDIRECT(AE$1))</f>
        <v>0</v>
      </c>
      <c r="AF6" t="str">
        <f t="shared" ca="1" si="5"/>
        <v>"1"</v>
      </c>
      <c r="AG6" t="str">
        <f t="shared" ca="1" si="5"/>
        <v>"1001.L730.L"</v>
      </c>
      <c r="AH6" s="14">
        <f t="shared" ref="AH6:AH69" ca="1" si="13">INDIRECT(AH$1)</f>
        <v>42277</v>
      </c>
      <c r="AI6" s="6" t="s">
        <v>45</v>
      </c>
      <c r="AJ6" t="str">
        <f t="shared" ca="1" si="6"/>
        <v>""</v>
      </c>
      <c r="AK6" t="str">
        <f t="shared" ca="1" si="6"/>
        <v>""</v>
      </c>
      <c r="AL6" t="str">
        <f t="shared" ca="1" si="6"/>
        <v>"P20"</v>
      </c>
      <c r="AM6" t="s">
        <v>66</v>
      </c>
      <c r="AN6" t="s">
        <v>66</v>
      </c>
      <c r="AO6" s="7" t="s">
        <v>50</v>
      </c>
      <c r="AP6" s="12" t="s">
        <v>58</v>
      </c>
    </row>
    <row r="7" spans="1:44" x14ac:dyDescent="0.3">
      <c r="A7" s="7" t="s">
        <v>63</v>
      </c>
      <c r="B7" s="7" t="s">
        <v>64</v>
      </c>
      <c r="C7" s="7" t="s">
        <v>50</v>
      </c>
      <c r="D7" t="str">
        <f t="shared" ca="1" si="0"/>
        <v>""</v>
      </c>
      <c r="E7" s="14">
        <f t="shared" ca="1" si="7"/>
        <v>0</v>
      </c>
      <c r="F7" s="6">
        <f t="shared" ca="1" si="8"/>
        <v>0</v>
      </c>
      <c r="G7" t="s">
        <v>65</v>
      </c>
      <c r="H7" t="str">
        <f t="shared" ca="1" si="1"/>
        <v>""</v>
      </c>
      <c r="I7" s="9">
        <f t="shared" ca="1" si="9"/>
        <v>0</v>
      </c>
      <c r="J7" s="14">
        <f t="shared" ca="1" si="10"/>
        <v>0</v>
      </c>
      <c r="K7" s="14">
        <f t="shared" ca="1" si="10"/>
        <v>0</v>
      </c>
      <c r="L7" s="9">
        <v>0</v>
      </c>
      <c r="M7" t="str">
        <f ca="1">Quotes&amp;Format!N8&amp;UPPER(INDIRECT(M$1,TRUE))&amp;Quotes</f>
        <v>""</v>
      </c>
      <c r="N7" t="str">
        <f t="shared" ca="1" si="2"/>
        <v>","</v>
      </c>
      <c r="O7" t="s">
        <v>66</v>
      </c>
      <c r="P7" t="str">
        <f t="shared" ca="1" si="3"/>
        <v>""</v>
      </c>
      <c r="Q7" t="str">
        <f t="shared" ca="1" si="3"/>
        <v>""</v>
      </c>
      <c r="R7" t="str">
        <f t="shared" ca="1" si="3"/>
        <v>""</v>
      </c>
      <c r="S7" t="str">
        <f t="shared" ca="1" si="3"/>
        <v>""</v>
      </c>
      <c r="T7" t="s">
        <v>66</v>
      </c>
      <c r="U7" s="11" t="s">
        <v>50</v>
      </c>
      <c r="V7" s="7" t="s">
        <v>67</v>
      </c>
      <c r="W7" s="11" t="s">
        <v>50</v>
      </c>
      <c r="X7" t="str">
        <f t="shared" ca="1" si="4"/>
        <v>"P20"</v>
      </c>
      <c r="Y7" s="9">
        <f t="shared" ca="1" si="11"/>
        <v>0</v>
      </c>
      <c r="Z7" s="9">
        <f t="shared" ca="1" si="11"/>
        <v>0</v>
      </c>
      <c r="AA7" s="6" t="s">
        <v>45</v>
      </c>
      <c r="AB7" s="13" t="s">
        <v>50</v>
      </c>
      <c r="AC7" s="7" t="s">
        <v>68</v>
      </c>
      <c r="AD7" s="13" t="s">
        <v>50</v>
      </c>
      <c r="AE7" s="6">
        <f t="shared" ca="1" si="12"/>
        <v>0</v>
      </c>
      <c r="AF7" t="str">
        <f t="shared" ca="1" si="5"/>
        <v>"1"</v>
      </c>
      <c r="AG7" t="str">
        <f t="shared" ca="1" si="5"/>
        <v>"1001.L730.L"</v>
      </c>
      <c r="AH7" s="14">
        <f t="shared" ca="1" si="13"/>
        <v>42277</v>
      </c>
      <c r="AI7" s="6" t="s">
        <v>45</v>
      </c>
      <c r="AJ7" t="str">
        <f t="shared" ca="1" si="6"/>
        <v>""</v>
      </c>
      <c r="AK7" t="str">
        <f t="shared" ca="1" si="6"/>
        <v>""</v>
      </c>
      <c r="AL7" t="str">
        <f t="shared" ca="1" si="6"/>
        <v>"P20"</v>
      </c>
      <c r="AM7" t="s">
        <v>66</v>
      </c>
      <c r="AN7" t="s">
        <v>66</v>
      </c>
      <c r="AO7" s="7" t="s">
        <v>50</v>
      </c>
      <c r="AP7" s="12" t="s">
        <v>58</v>
      </c>
    </row>
    <row r="8" spans="1:44" x14ac:dyDescent="0.3">
      <c r="A8" s="7" t="s">
        <v>63</v>
      </c>
      <c r="B8" s="7" t="s">
        <v>64</v>
      </c>
      <c r="C8" s="7" t="s">
        <v>50</v>
      </c>
      <c r="D8" t="str">
        <f t="shared" ca="1" si="0"/>
        <v>""</v>
      </c>
      <c r="E8" s="14">
        <f t="shared" ca="1" si="7"/>
        <v>0</v>
      </c>
      <c r="F8" s="6">
        <f t="shared" ca="1" si="8"/>
        <v>0</v>
      </c>
      <c r="G8" t="s">
        <v>65</v>
      </c>
      <c r="H8" t="str">
        <f t="shared" ca="1" si="1"/>
        <v>""</v>
      </c>
      <c r="I8" s="9">
        <f t="shared" ca="1" si="9"/>
        <v>0</v>
      </c>
      <c r="J8" s="14">
        <f t="shared" ca="1" si="10"/>
        <v>0</v>
      </c>
      <c r="K8" s="14">
        <f t="shared" ca="1" si="10"/>
        <v>0</v>
      </c>
      <c r="L8" s="9">
        <v>0</v>
      </c>
      <c r="M8" t="str">
        <f ca="1">Quotes&amp;Format!N9&amp;UPPER(INDIRECT(M$1,TRUE))&amp;Quotes</f>
        <v>""</v>
      </c>
      <c r="N8" t="str">
        <f t="shared" ca="1" si="2"/>
        <v>","</v>
      </c>
      <c r="O8" t="s">
        <v>66</v>
      </c>
      <c r="P8" t="str">
        <f t="shared" ca="1" si="3"/>
        <v>""</v>
      </c>
      <c r="Q8" t="str">
        <f t="shared" ca="1" si="3"/>
        <v>""</v>
      </c>
      <c r="R8" t="str">
        <f t="shared" ca="1" si="3"/>
        <v>""</v>
      </c>
      <c r="S8" t="str">
        <f t="shared" ca="1" si="3"/>
        <v>""</v>
      </c>
      <c r="T8" t="s">
        <v>66</v>
      </c>
      <c r="U8" s="11" t="s">
        <v>50</v>
      </c>
      <c r="V8" s="7" t="s">
        <v>67</v>
      </c>
      <c r="W8" s="11" t="s">
        <v>50</v>
      </c>
      <c r="X8" t="str">
        <f t="shared" ca="1" si="4"/>
        <v>"P20"</v>
      </c>
      <c r="Y8" s="9">
        <f t="shared" ca="1" si="11"/>
        <v>0</v>
      </c>
      <c r="Z8" s="9">
        <f t="shared" ca="1" si="11"/>
        <v>0</v>
      </c>
      <c r="AA8" s="6" t="s">
        <v>45</v>
      </c>
      <c r="AB8" s="13" t="s">
        <v>50</v>
      </c>
      <c r="AC8" s="7" t="s">
        <v>68</v>
      </c>
      <c r="AD8" s="13" t="s">
        <v>50</v>
      </c>
      <c r="AE8" s="6">
        <f t="shared" ca="1" si="12"/>
        <v>0</v>
      </c>
      <c r="AF8" t="str">
        <f t="shared" ca="1" si="5"/>
        <v>"1"</v>
      </c>
      <c r="AG8" t="str">
        <f t="shared" ca="1" si="5"/>
        <v>"1001.L730.L"</v>
      </c>
      <c r="AH8" s="14">
        <f t="shared" ca="1" si="13"/>
        <v>42277</v>
      </c>
      <c r="AI8" s="6" t="s">
        <v>45</v>
      </c>
      <c r="AJ8" t="str">
        <f t="shared" ca="1" si="6"/>
        <v>""</v>
      </c>
      <c r="AK8" t="str">
        <f t="shared" ca="1" si="6"/>
        <v>""</v>
      </c>
      <c r="AL8" t="str">
        <f t="shared" ca="1" si="6"/>
        <v>"P20"</v>
      </c>
      <c r="AM8" t="s">
        <v>66</v>
      </c>
      <c r="AN8" t="s">
        <v>66</v>
      </c>
      <c r="AO8" s="7" t="s">
        <v>50</v>
      </c>
      <c r="AP8" s="12" t="s">
        <v>58</v>
      </c>
    </row>
    <row r="9" spans="1:44" x14ac:dyDescent="0.3">
      <c r="A9" s="7" t="s">
        <v>63</v>
      </c>
      <c r="B9" s="7" t="s">
        <v>64</v>
      </c>
      <c r="C9" s="7" t="s">
        <v>50</v>
      </c>
      <c r="D9" t="str">
        <f t="shared" ca="1" si="0"/>
        <v>""</v>
      </c>
      <c r="E9" s="14">
        <f t="shared" ca="1" si="7"/>
        <v>0</v>
      </c>
      <c r="F9" s="6">
        <f t="shared" ca="1" si="8"/>
        <v>0</v>
      </c>
      <c r="G9" t="s">
        <v>65</v>
      </c>
      <c r="H9" t="str">
        <f t="shared" ca="1" si="1"/>
        <v>""</v>
      </c>
      <c r="I9" s="9">
        <f t="shared" ca="1" si="9"/>
        <v>0</v>
      </c>
      <c r="J9" s="14">
        <f t="shared" ca="1" si="10"/>
        <v>0</v>
      </c>
      <c r="K9" s="14">
        <f t="shared" ca="1" si="10"/>
        <v>0</v>
      </c>
      <c r="L9" s="9">
        <v>0</v>
      </c>
      <c r="M9" t="str">
        <f ca="1">Quotes&amp;Format!N10&amp;UPPER(INDIRECT(M$1,TRUE))&amp;Quotes</f>
        <v>""</v>
      </c>
      <c r="N9" t="str">
        <f t="shared" ca="1" si="2"/>
        <v>","</v>
      </c>
      <c r="O9" t="s">
        <v>66</v>
      </c>
      <c r="P9" t="str">
        <f t="shared" ca="1" si="3"/>
        <v>""</v>
      </c>
      <c r="Q9" t="str">
        <f t="shared" ca="1" si="3"/>
        <v>""</v>
      </c>
      <c r="R9" t="str">
        <f t="shared" ca="1" si="3"/>
        <v>""</v>
      </c>
      <c r="S9" t="str">
        <f t="shared" ca="1" si="3"/>
        <v>""</v>
      </c>
      <c r="T9" t="s">
        <v>66</v>
      </c>
      <c r="U9" s="11" t="s">
        <v>50</v>
      </c>
      <c r="V9" s="7" t="s">
        <v>67</v>
      </c>
      <c r="W9" s="11" t="s">
        <v>50</v>
      </c>
      <c r="X9" t="str">
        <f t="shared" ca="1" si="4"/>
        <v>"P20"</v>
      </c>
      <c r="Y9" s="9">
        <f t="shared" ca="1" si="11"/>
        <v>0</v>
      </c>
      <c r="Z9" s="9">
        <f t="shared" ca="1" si="11"/>
        <v>0</v>
      </c>
      <c r="AA9" s="6" t="s">
        <v>45</v>
      </c>
      <c r="AB9" s="13" t="s">
        <v>50</v>
      </c>
      <c r="AC9" s="7" t="s">
        <v>68</v>
      </c>
      <c r="AD9" s="13" t="s">
        <v>50</v>
      </c>
      <c r="AE9" s="6">
        <f t="shared" ca="1" si="12"/>
        <v>0</v>
      </c>
      <c r="AF9" t="str">
        <f t="shared" ca="1" si="5"/>
        <v>"1"</v>
      </c>
      <c r="AG9" t="str">
        <f t="shared" ca="1" si="5"/>
        <v>"1001.L730.L"</v>
      </c>
      <c r="AH9" s="14">
        <f t="shared" ca="1" si="13"/>
        <v>42277</v>
      </c>
      <c r="AI9" s="6" t="s">
        <v>45</v>
      </c>
      <c r="AJ9" t="str">
        <f t="shared" ca="1" si="6"/>
        <v>""</v>
      </c>
      <c r="AK9" t="str">
        <f t="shared" ca="1" si="6"/>
        <v>""</v>
      </c>
      <c r="AL9" t="str">
        <f t="shared" ca="1" si="6"/>
        <v>"P20"</v>
      </c>
      <c r="AM9" t="s">
        <v>66</v>
      </c>
      <c r="AN9" t="s">
        <v>66</v>
      </c>
      <c r="AO9" s="7" t="s">
        <v>50</v>
      </c>
      <c r="AP9" s="12" t="s">
        <v>58</v>
      </c>
    </row>
    <row r="10" spans="1:44" x14ac:dyDescent="0.3">
      <c r="A10" s="7" t="s">
        <v>63</v>
      </c>
      <c r="B10" s="7" t="s">
        <v>64</v>
      </c>
      <c r="C10" s="7" t="s">
        <v>50</v>
      </c>
      <c r="D10" t="str">
        <f t="shared" ca="1" si="0"/>
        <v>""</v>
      </c>
      <c r="E10" s="14">
        <f t="shared" ca="1" si="7"/>
        <v>0</v>
      </c>
      <c r="F10" s="6">
        <f t="shared" ca="1" si="8"/>
        <v>0</v>
      </c>
      <c r="G10" t="s">
        <v>65</v>
      </c>
      <c r="H10" t="str">
        <f t="shared" ca="1" si="1"/>
        <v>""</v>
      </c>
      <c r="I10" s="9">
        <f t="shared" ca="1" si="9"/>
        <v>0</v>
      </c>
      <c r="J10" s="14">
        <f t="shared" ca="1" si="10"/>
        <v>0</v>
      </c>
      <c r="K10" s="14">
        <f t="shared" ca="1" si="10"/>
        <v>0</v>
      </c>
      <c r="L10" s="9">
        <v>0</v>
      </c>
      <c r="M10" t="str">
        <f ca="1">Quotes&amp;Format!N11&amp;UPPER(INDIRECT(M$1,TRUE))&amp;Quotes</f>
        <v>""</v>
      </c>
      <c r="N10" t="str">
        <f t="shared" ca="1" si="2"/>
        <v>","</v>
      </c>
      <c r="O10" t="s">
        <v>66</v>
      </c>
      <c r="P10" t="str">
        <f t="shared" ca="1" si="3"/>
        <v>""</v>
      </c>
      <c r="Q10" t="str">
        <f t="shared" ca="1" si="3"/>
        <v>""</v>
      </c>
      <c r="R10" t="str">
        <f t="shared" ca="1" si="3"/>
        <v>""</v>
      </c>
      <c r="S10" t="str">
        <f t="shared" ca="1" si="3"/>
        <v>""</v>
      </c>
      <c r="T10" t="s">
        <v>66</v>
      </c>
      <c r="U10" s="11" t="s">
        <v>50</v>
      </c>
      <c r="V10" s="7" t="s">
        <v>67</v>
      </c>
      <c r="W10" s="11" t="s">
        <v>50</v>
      </c>
      <c r="X10" t="str">
        <f t="shared" ca="1" si="4"/>
        <v>"P20"</v>
      </c>
      <c r="Y10" s="9">
        <f t="shared" ca="1" si="11"/>
        <v>0</v>
      </c>
      <c r="Z10" s="9">
        <f t="shared" ca="1" si="11"/>
        <v>0</v>
      </c>
      <c r="AA10" s="6" t="s">
        <v>45</v>
      </c>
      <c r="AB10" s="13" t="s">
        <v>50</v>
      </c>
      <c r="AC10" s="7" t="s">
        <v>68</v>
      </c>
      <c r="AD10" s="13" t="s">
        <v>50</v>
      </c>
      <c r="AE10" s="6">
        <f t="shared" ca="1" si="12"/>
        <v>0</v>
      </c>
      <c r="AF10" t="str">
        <f t="shared" ca="1" si="5"/>
        <v>"1"</v>
      </c>
      <c r="AG10" t="str">
        <f t="shared" ca="1" si="5"/>
        <v>"1001.P940.P"</v>
      </c>
      <c r="AH10" s="14">
        <f t="shared" ca="1" si="13"/>
        <v>42277</v>
      </c>
      <c r="AI10" s="6" t="s">
        <v>45</v>
      </c>
      <c r="AJ10" t="str">
        <f t="shared" ca="1" si="6"/>
        <v>""</v>
      </c>
      <c r="AK10" t="str">
        <f t="shared" ca="1" si="6"/>
        <v>""</v>
      </c>
      <c r="AL10" t="str">
        <f t="shared" ca="1" si="6"/>
        <v>"P20"</v>
      </c>
      <c r="AM10" t="s">
        <v>66</v>
      </c>
      <c r="AN10" t="s">
        <v>66</v>
      </c>
      <c r="AO10" s="7" t="s">
        <v>50</v>
      </c>
      <c r="AP10" s="12" t="s">
        <v>58</v>
      </c>
    </row>
    <row r="11" spans="1:44" x14ac:dyDescent="0.3">
      <c r="A11" s="7" t="s">
        <v>63</v>
      </c>
      <c r="B11" s="7" t="s">
        <v>64</v>
      </c>
      <c r="C11" s="7" t="s">
        <v>50</v>
      </c>
      <c r="D11" t="str">
        <f t="shared" ca="1" si="0"/>
        <v>""</v>
      </c>
      <c r="E11" s="14">
        <f t="shared" ca="1" si="7"/>
        <v>0</v>
      </c>
      <c r="F11" s="6">
        <f t="shared" ca="1" si="8"/>
        <v>0</v>
      </c>
      <c r="G11" t="s">
        <v>65</v>
      </c>
      <c r="H11" t="str">
        <f t="shared" ca="1" si="1"/>
        <v>""</v>
      </c>
      <c r="I11" s="9">
        <f t="shared" ca="1" si="9"/>
        <v>0</v>
      </c>
      <c r="J11" s="14">
        <f t="shared" ca="1" si="10"/>
        <v>0</v>
      </c>
      <c r="K11" s="14">
        <f t="shared" ca="1" si="10"/>
        <v>0</v>
      </c>
      <c r="L11" s="9">
        <v>0</v>
      </c>
      <c r="M11" t="str">
        <f ca="1">Quotes&amp;Format!N12&amp;UPPER(INDIRECT(M$1,TRUE))&amp;Quotes</f>
        <v>""</v>
      </c>
      <c r="N11" t="str">
        <f t="shared" ca="1" si="2"/>
        <v>","</v>
      </c>
      <c r="O11" t="s">
        <v>66</v>
      </c>
      <c r="P11" t="str">
        <f t="shared" ca="1" si="3"/>
        <v>""</v>
      </c>
      <c r="Q11" t="str">
        <f t="shared" ca="1" si="3"/>
        <v>""</v>
      </c>
      <c r="R11" t="str">
        <f t="shared" ca="1" si="3"/>
        <v>""</v>
      </c>
      <c r="S11" t="str">
        <f t="shared" ca="1" si="3"/>
        <v>""</v>
      </c>
      <c r="T11" t="s">
        <v>66</v>
      </c>
      <c r="U11" s="11" t="s">
        <v>50</v>
      </c>
      <c r="V11" s="7" t="s">
        <v>67</v>
      </c>
      <c r="W11" s="11" t="s">
        <v>50</v>
      </c>
      <c r="X11" t="str">
        <f t="shared" ca="1" si="4"/>
        <v>"P20"</v>
      </c>
      <c r="Y11" s="9">
        <f t="shared" ca="1" si="11"/>
        <v>0</v>
      </c>
      <c r="Z11" s="9">
        <f t="shared" ca="1" si="11"/>
        <v>0</v>
      </c>
      <c r="AA11" s="6" t="s">
        <v>45</v>
      </c>
      <c r="AB11" s="13" t="s">
        <v>50</v>
      </c>
      <c r="AC11" s="7" t="s">
        <v>68</v>
      </c>
      <c r="AD11" s="13" t="s">
        <v>50</v>
      </c>
      <c r="AE11" s="6">
        <f t="shared" ca="1" si="12"/>
        <v>0</v>
      </c>
      <c r="AF11" t="str">
        <f t="shared" ca="1" si="5"/>
        <v>"1"</v>
      </c>
      <c r="AG11" t="str">
        <f t="shared" ca="1" si="5"/>
        <v>"1001.X540.X"</v>
      </c>
      <c r="AH11" s="14">
        <f t="shared" ca="1" si="13"/>
        <v>42277</v>
      </c>
      <c r="AI11" s="6" t="s">
        <v>45</v>
      </c>
      <c r="AJ11" t="str">
        <f t="shared" ca="1" si="6"/>
        <v>""</v>
      </c>
      <c r="AK11" t="str">
        <f t="shared" ca="1" si="6"/>
        <v>""</v>
      </c>
      <c r="AL11" t="str">
        <f t="shared" ca="1" si="6"/>
        <v>"P20"</v>
      </c>
      <c r="AM11" t="s">
        <v>66</v>
      </c>
      <c r="AN11" t="s">
        <v>66</v>
      </c>
      <c r="AO11" s="7" t="s">
        <v>50</v>
      </c>
      <c r="AP11" s="12" t="s">
        <v>58</v>
      </c>
    </row>
    <row r="12" spans="1:44" x14ac:dyDescent="0.3">
      <c r="A12" s="7" t="s">
        <v>63</v>
      </c>
      <c r="B12" s="7" t="s">
        <v>64</v>
      </c>
      <c r="C12" s="7" t="s">
        <v>50</v>
      </c>
      <c r="D12" t="str">
        <f t="shared" ca="1" si="0"/>
        <v>""</v>
      </c>
      <c r="E12" s="14">
        <f t="shared" ca="1" si="7"/>
        <v>0</v>
      </c>
      <c r="F12" s="6">
        <f t="shared" ca="1" si="8"/>
        <v>0</v>
      </c>
      <c r="G12" t="s">
        <v>65</v>
      </c>
      <c r="H12" t="str">
        <f t="shared" ca="1" si="1"/>
        <v>""</v>
      </c>
      <c r="I12" s="9">
        <f t="shared" ca="1" si="9"/>
        <v>0</v>
      </c>
      <c r="J12" s="14">
        <f t="shared" ca="1" si="10"/>
        <v>0</v>
      </c>
      <c r="K12" s="14">
        <f t="shared" ca="1" si="10"/>
        <v>0</v>
      </c>
      <c r="L12" s="9">
        <v>0</v>
      </c>
      <c r="M12" t="str">
        <f ca="1">Quotes&amp;Format!N13&amp;UPPER(INDIRECT(M$1,TRUE))&amp;Quotes</f>
        <v>""</v>
      </c>
      <c r="N12" t="str">
        <f t="shared" ca="1" si="2"/>
        <v>","</v>
      </c>
      <c r="O12" t="s">
        <v>66</v>
      </c>
      <c r="P12" t="str">
        <f t="shared" ca="1" si="3"/>
        <v>""</v>
      </c>
      <c r="Q12" t="str">
        <f t="shared" ca="1" si="3"/>
        <v>""</v>
      </c>
      <c r="R12" t="str">
        <f t="shared" ca="1" si="3"/>
        <v>""</v>
      </c>
      <c r="S12" t="str">
        <f t="shared" ca="1" si="3"/>
        <v>""</v>
      </c>
      <c r="T12" t="s">
        <v>66</v>
      </c>
      <c r="U12" s="11" t="s">
        <v>50</v>
      </c>
      <c r="V12" s="7" t="s">
        <v>67</v>
      </c>
      <c r="W12" s="11" t="s">
        <v>50</v>
      </c>
      <c r="X12" t="str">
        <f t="shared" ca="1" si="4"/>
        <v>"P20"</v>
      </c>
      <c r="Y12" s="9">
        <f t="shared" ca="1" si="11"/>
        <v>0</v>
      </c>
      <c r="Z12" s="9">
        <f t="shared" ca="1" si="11"/>
        <v>0</v>
      </c>
      <c r="AA12" s="6" t="s">
        <v>45</v>
      </c>
      <c r="AB12" s="13" t="s">
        <v>50</v>
      </c>
      <c r="AC12" s="7" t="s">
        <v>68</v>
      </c>
      <c r="AD12" s="13" t="s">
        <v>50</v>
      </c>
      <c r="AE12" s="6">
        <f t="shared" ca="1" si="12"/>
        <v>0</v>
      </c>
      <c r="AF12" t="str">
        <f t="shared" ca="1" si="5"/>
        <v>"1"</v>
      </c>
      <c r="AG12" t="str">
        <f t="shared" ca="1" si="5"/>
        <v>"1001.X540.X"</v>
      </c>
      <c r="AH12" s="14">
        <f t="shared" ca="1" si="13"/>
        <v>42277</v>
      </c>
      <c r="AI12" s="6" t="s">
        <v>45</v>
      </c>
      <c r="AJ12" t="str">
        <f t="shared" ca="1" si="6"/>
        <v>""</v>
      </c>
      <c r="AK12" t="str">
        <f t="shared" ca="1" si="6"/>
        <v>""</v>
      </c>
      <c r="AL12" t="str">
        <f t="shared" ca="1" si="6"/>
        <v>"P20"</v>
      </c>
      <c r="AM12" t="s">
        <v>66</v>
      </c>
      <c r="AN12" t="s">
        <v>66</v>
      </c>
      <c r="AO12" s="7" t="s">
        <v>50</v>
      </c>
      <c r="AP12" s="12" t="s">
        <v>58</v>
      </c>
    </row>
    <row r="13" spans="1:44" x14ac:dyDescent="0.3">
      <c r="A13" s="7" t="s">
        <v>63</v>
      </c>
      <c r="B13" s="7" t="s">
        <v>64</v>
      </c>
      <c r="C13" s="7" t="s">
        <v>50</v>
      </c>
      <c r="D13" t="str">
        <f t="shared" ca="1" si="0"/>
        <v>""</v>
      </c>
      <c r="E13" s="14">
        <f t="shared" ca="1" si="7"/>
        <v>0</v>
      </c>
      <c r="F13" s="6">
        <f t="shared" ca="1" si="8"/>
        <v>0</v>
      </c>
      <c r="G13" t="s">
        <v>65</v>
      </c>
      <c r="H13" t="str">
        <f t="shared" ca="1" si="1"/>
        <v>""</v>
      </c>
      <c r="I13" s="9">
        <f t="shared" ca="1" si="9"/>
        <v>0</v>
      </c>
      <c r="J13" s="14">
        <f t="shared" ca="1" si="10"/>
        <v>0</v>
      </c>
      <c r="K13" s="14">
        <f t="shared" ca="1" si="10"/>
        <v>0</v>
      </c>
      <c r="L13" s="9">
        <v>0</v>
      </c>
      <c r="M13" t="str">
        <f ca="1">Quotes&amp;Format!N14&amp;UPPER(INDIRECT(M$1,TRUE))&amp;Quotes</f>
        <v>""</v>
      </c>
      <c r="N13" t="str">
        <f t="shared" ca="1" si="2"/>
        <v>","</v>
      </c>
      <c r="O13" t="s">
        <v>66</v>
      </c>
      <c r="P13" t="str">
        <f t="shared" ca="1" si="3"/>
        <v>""</v>
      </c>
      <c r="Q13" t="str">
        <f t="shared" ca="1" si="3"/>
        <v>""</v>
      </c>
      <c r="R13" t="str">
        <f t="shared" ca="1" si="3"/>
        <v>""</v>
      </c>
      <c r="S13" t="str">
        <f t="shared" ca="1" si="3"/>
        <v>""</v>
      </c>
      <c r="T13" t="s">
        <v>66</v>
      </c>
      <c r="U13" s="11" t="s">
        <v>50</v>
      </c>
      <c r="V13" s="7" t="s">
        <v>67</v>
      </c>
      <c r="W13" s="11" t="s">
        <v>50</v>
      </c>
      <c r="X13" t="str">
        <f t="shared" ca="1" si="4"/>
        <v>"P20"</v>
      </c>
      <c r="Y13" s="9">
        <f t="shared" ca="1" si="11"/>
        <v>0</v>
      </c>
      <c r="Z13" s="9">
        <f t="shared" ca="1" si="11"/>
        <v>0</v>
      </c>
      <c r="AA13" s="6" t="s">
        <v>45</v>
      </c>
      <c r="AB13" s="13" t="s">
        <v>50</v>
      </c>
      <c r="AC13" s="7" t="s">
        <v>68</v>
      </c>
      <c r="AD13" s="13" t="s">
        <v>50</v>
      </c>
      <c r="AE13" s="6">
        <f t="shared" ca="1" si="12"/>
        <v>0</v>
      </c>
      <c r="AF13" t="str">
        <f t="shared" ca="1" si="5"/>
        <v>"1"</v>
      </c>
      <c r="AG13" t="str">
        <f t="shared" ca="1" si="5"/>
        <v>"1001.X540.X"</v>
      </c>
      <c r="AH13" s="14">
        <f t="shared" ca="1" si="13"/>
        <v>42277</v>
      </c>
      <c r="AI13" s="6" t="s">
        <v>45</v>
      </c>
      <c r="AJ13" t="str">
        <f t="shared" ca="1" si="6"/>
        <v>""</v>
      </c>
      <c r="AK13" t="str">
        <f t="shared" ca="1" si="6"/>
        <v>""</v>
      </c>
      <c r="AL13" t="str">
        <f t="shared" ca="1" si="6"/>
        <v>"P20"</v>
      </c>
      <c r="AM13" t="s">
        <v>66</v>
      </c>
      <c r="AN13" t="s">
        <v>66</v>
      </c>
      <c r="AO13" s="7" t="s">
        <v>50</v>
      </c>
      <c r="AP13" s="12" t="s">
        <v>58</v>
      </c>
    </row>
    <row r="14" spans="1:44" x14ac:dyDescent="0.3">
      <c r="A14" s="7" t="s">
        <v>63</v>
      </c>
      <c r="B14" s="7" t="s">
        <v>64</v>
      </c>
      <c r="C14" s="7" t="s">
        <v>50</v>
      </c>
      <c r="D14" t="str">
        <f t="shared" ca="1" si="0"/>
        <v>""</v>
      </c>
      <c r="E14" s="14">
        <f t="shared" ca="1" si="7"/>
        <v>0</v>
      </c>
      <c r="F14" s="6">
        <f t="shared" ca="1" si="8"/>
        <v>0</v>
      </c>
      <c r="G14" t="s">
        <v>65</v>
      </c>
      <c r="H14" t="str">
        <f t="shared" ca="1" si="1"/>
        <v>""</v>
      </c>
      <c r="I14" s="9">
        <f t="shared" ca="1" si="9"/>
        <v>0</v>
      </c>
      <c r="J14" s="14">
        <f t="shared" ca="1" si="10"/>
        <v>0</v>
      </c>
      <c r="K14" s="14">
        <f t="shared" ca="1" si="10"/>
        <v>0</v>
      </c>
      <c r="L14" s="9">
        <v>0</v>
      </c>
      <c r="M14" t="str">
        <f ca="1">Quotes&amp;Format!N15&amp;UPPER(INDIRECT(M$1,TRUE))&amp;Quotes</f>
        <v>""</v>
      </c>
      <c r="N14" t="str">
        <f t="shared" ca="1" si="2"/>
        <v>","</v>
      </c>
      <c r="O14" t="s">
        <v>66</v>
      </c>
      <c r="P14" t="str">
        <f t="shared" ca="1" si="3"/>
        <v>""</v>
      </c>
      <c r="Q14" t="str">
        <f t="shared" ca="1" si="3"/>
        <v>""</v>
      </c>
      <c r="R14" t="str">
        <f t="shared" ca="1" si="3"/>
        <v>""</v>
      </c>
      <c r="S14" t="str">
        <f t="shared" ca="1" si="3"/>
        <v>""</v>
      </c>
      <c r="T14" t="s">
        <v>66</v>
      </c>
      <c r="U14" s="11" t="s">
        <v>50</v>
      </c>
      <c r="V14" s="7" t="s">
        <v>67</v>
      </c>
      <c r="W14" s="11" t="s">
        <v>50</v>
      </c>
      <c r="X14" t="str">
        <f t="shared" ca="1" si="4"/>
        <v>"P20"</v>
      </c>
      <c r="Y14" s="9">
        <f t="shared" ca="1" si="11"/>
        <v>0</v>
      </c>
      <c r="Z14" s="9">
        <f t="shared" ca="1" si="11"/>
        <v>0</v>
      </c>
      <c r="AA14" s="6" t="s">
        <v>45</v>
      </c>
      <c r="AB14" s="13" t="s">
        <v>50</v>
      </c>
      <c r="AC14" s="7" t="s">
        <v>68</v>
      </c>
      <c r="AD14" s="13" t="s">
        <v>50</v>
      </c>
      <c r="AE14" s="6">
        <f t="shared" ca="1" si="12"/>
        <v>0</v>
      </c>
      <c r="AF14" t="str">
        <f t="shared" ca="1" si="5"/>
        <v>"1"</v>
      </c>
      <c r="AG14" t="str">
        <f t="shared" ca="1" si="5"/>
        <v>"1001.X540.X"</v>
      </c>
      <c r="AH14" s="14">
        <f t="shared" ca="1" si="13"/>
        <v>42277</v>
      </c>
      <c r="AI14" s="6" t="s">
        <v>45</v>
      </c>
      <c r="AJ14" t="str">
        <f t="shared" ca="1" si="6"/>
        <v>""</v>
      </c>
      <c r="AK14" t="str">
        <f t="shared" ca="1" si="6"/>
        <v>""</v>
      </c>
      <c r="AL14" t="str">
        <f t="shared" ca="1" si="6"/>
        <v>"P20"</v>
      </c>
      <c r="AM14" t="s">
        <v>66</v>
      </c>
      <c r="AN14" t="s">
        <v>66</v>
      </c>
      <c r="AO14" s="7" t="s">
        <v>50</v>
      </c>
      <c r="AP14" s="12" t="s">
        <v>58</v>
      </c>
    </row>
    <row r="15" spans="1:44" x14ac:dyDescent="0.3">
      <c r="A15" s="7" t="s">
        <v>63</v>
      </c>
      <c r="B15" s="7" t="s">
        <v>64</v>
      </c>
      <c r="C15" s="7" t="s">
        <v>50</v>
      </c>
      <c r="D15" t="str">
        <f t="shared" ca="1" si="0"/>
        <v>""</v>
      </c>
      <c r="E15" s="14">
        <f t="shared" ca="1" si="7"/>
        <v>0</v>
      </c>
      <c r="F15" s="6">
        <f t="shared" ca="1" si="8"/>
        <v>0</v>
      </c>
      <c r="G15" t="s">
        <v>65</v>
      </c>
      <c r="H15" t="str">
        <f t="shared" ca="1" si="1"/>
        <v>""</v>
      </c>
      <c r="I15" s="9">
        <f t="shared" ca="1" si="9"/>
        <v>0</v>
      </c>
      <c r="J15" s="14">
        <f t="shared" ca="1" si="10"/>
        <v>0</v>
      </c>
      <c r="K15" s="14">
        <f t="shared" ca="1" si="10"/>
        <v>0</v>
      </c>
      <c r="L15" s="9">
        <v>0</v>
      </c>
      <c r="M15" t="str">
        <f ca="1">Quotes&amp;Format!N16&amp;UPPER(INDIRECT(M$1,TRUE))&amp;Quotes</f>
        <v>""</v>
      </c>
      <c r="N15" t="str">
        <f t="shared" ca="1" si="2"/>
        <v>","</v>
      </c>
      <c r="O15" t="s">
        <v>66</v>
      </c>
      <c r="P15" t="str">
        <f t="shared" ca="1" si="3"/>
        <v>""</v>
      </c>
      <c r="Q15" t="str">
        <f t="shared" ca="1" si="3"/>
        <v>""</v>
      </c>
      <c r="R15" t="str">
        <f t="shared" ca="1" si="3"/>
        <v>""</v>
      </c>
      <c r="S15" t="str">
        <f t="shared" ca="1" si="3"/>
        <v>""</v>
      </c>
      <c r="T15" t="s">
        <v>66</v>
      </c>
      <c r="U15" s="11" t="s">
        <v>50</v>
      </c>
      <c r="V15" s="7" t="s">
        <v>67</v>
      </c>
      <c r="W15" s="11" t="s">
        <v>50</v>
      </c>
      <c r="X15" t="str">
        <f t="shared" ca="1" si="4"/>
        <v>"P20"</v>
      </c>
      <c r="Y15" s="9">
        <f t="shared" ca="1" si="11"/>
        <v>0</v>
      </c>
      <c r="Z15" s="9">
        <f t="shared" ca="1" si="11"/>
        <v>0</v>
      </c>
      <c r="AA15" s="6" t="s">
        <v>45</v>
      </c>
      <c r="AB15" s="13" t="s">
        <v>50</v>
      </c>
      <c r="AC15" s="7" t="s">
        <v>68</v>
      </c>
      <c r="AD15" s="13" t="s">
        <v>50</v>
      </c>
      <c r="AE15" s="6">
        <f t="shared" ca="1" si="12"/>
        <v>0</v>
      </c>
      <c r="AF15" t="str">
        <f t="shared" ca="1" si="5"/>
        <v>"1"</v>
      </c>
      <c r="AG15" t="str">
        <f t="shared" ca="1" si="5"/>
        <v>"1001.X540.X"</v>
      </c>
      <c r="AH15" s="14">
        <f t="shared" ca="1" si="13"/>
        <v>42277</v>
      </c>
      <c r="AI15" s="6" t="s">
        <v>45</v>
      </c>
      <c r="AJ15" t="str">
        <f t="shared" ca="1" si="6"/>
        <v>""</v>
      </c>
      <c r="AK15" t="str">
        <f t="shared" ca="1" si="6"/>
        <v>""</v>
      </c>
      <c r="AL15" t="str">
        <f t="shared" ca="1" si="6"/>
        <v>"P20"</v>
      </c>
      <c r="AM15" t="s">
        <v>66</v>
      </c>
      <c r="AN15" t="s">
        <v>66</v>
      </c>
      <c r="AO15" s="7" t="s">
        <v>50</v>
      </c>
      <c r="AP15" s="12" t="s">
        <v>58</v>
      </c>
    </row>
    <row r="16" spans="1:44" x14ac:dyDescent="0.3">
      <c r="A16" s="7" t="s">
        <v>63</v>
      </c>
      <c r="B16" s="7" t="s">
        <v>64</v>
      </c>
      <c r="C16" s="7" t="s">
        <v>50</v>
      </c>
      <c r="D16" t="str">
        <f t="shared" ca="1" si="0"/>
        <v>""</v>
      </c>
      <c r="E16" s="14">
        <f t="shared" ca="1" si="7"/>
        <v>0</v>
      </c>
      <c r="F16" s="6">
        <f t="shared" ca="1" si="8"/>
        <v>0</v>
      </c>
      <c r="G16" t="s">
        <v>65</v>
      </c>
      <c r="H16" t="str">
        <f t="shared" ca="1" si="1"/>
        <v>""</v>
      </c>
      <c r="I16" s="9">
        <f t="shared" ca="1" si="9"/>
        <v>0</v>
      </c>
      <c r="J16" s="14">
        <f t="shared" ca="1" si="10"/>
        <v>0</v>
      </c>
      <c r="K16" s="14">
        <f t="shared" ca="1" si="10"/>
        <v>0</v>
      </c>
      <c r="L16" s="9">
        <v>0</v>
      </c>
      <c r="M16" t="str">
        <f ca="1">Quotes&amp;Format!N17&amp;UPPER(INDIRECT(M$1,TRUE))&amp;Quotes</f>
        <v>""</v>
      </c>
      <c r="N16" t="str">
        <f t="shared" ca="1" si="2"/>
        <v>","</v>
      </c>
      <c r="O16" t="s">
        <v>66</v>
      </c>
      <c r="P16" t="str">
        <f t="shared" ca="1" si="3"/>
        <v>""</v>
      </c>
      <c r="Q16" t="str">
        <f t="shared" ca="1" si="3"/>
        <v>""</v>
      </c>
      <c r="R16" t="str">
        <f t="shared" ca="1" si="3"/>
        <v>""</v>
      </c>
      <c r="S16" t="str">
        <f t="shared" ca="1" si="3"/>
        <v>""</v>
      </c>
      <c r="T16" t="s">
        <v>66</v>
      </c>
      <c r="U16" s="11" t="s">
        <v>50</v>
      </c>
      <c r="V16" s="7" t="s">
        <v>67</v>
      </c>
      <c r="W16" s="11" t="s">
        <v>50</v>
      </c>
      <c r="X16" t="str">
        <f t="shared" ca="1" si="4"/>
        <v>"P20"</v>
      </c>
      <c r="Y16" s="9">
        <f t="shared" ca="1" si="11"/>
        <v>0</v>
      </c>
      <c r="Z16" s="9">
        <f t="shared" ca="1" si="11"/>
        <v>0</v>
      </c>
      <c r="AA16" s="6" t="s">
        <v>45</v>
      </c>
      <c r="AB16" s="13" t="s">
        <v>50</v>
      </c>
      <c r="AC16" s="7" t="s">
        <v>68</v>
      </c>
      <c r="AD16" s="13" t="s">
        <v>50</v>
      </c>
      <c r="AE16" s="6">
        <f t="shared" ca="1" si="12"/>
        <v>0</v>
      </c>
      <c r="AF16" t="str">
        <f t="shared" ca="1" si="5"/>
        <v>"1"</v>
      </c>
      <c r="AG16" t="str">
        <f t="shared" ca="1" si="5"/>
        <v>"1001.X710.X"</v>
      </c>
      <c r="AH16" s="14">
        <f t="shared" ca="1" si="13"/>
        <v>42277</v>
      </c>
      <c r="AI16" s="6" t="s">
        <v>45</v>
      </c>
      <c r="AJ16" t="str">
        <f t="shared" ca="1" si="6"/>
        <v>""</v>
      </c>
      <c r="AK16" t="str">
        <f t="shared" ca="1" si="6"/>
        <v>""</v>
      </c>
      <c r="AL16" t="str">
        <f t="shared" ca="1" si="6"/>
        <v>"P20"</v>
      </c>
      <c r="AM16" t="s">
        <v>66</v>
      </c>
      <c r="AN16" t="s">
        <v>66</v>
      </c>
      <c r="AO16" s="7" t="s">
        <v>50</v>
      </c>
      <c r="AP16" s="12" t="s">
        <v>58</v>
      </c>
    </row>
    <row r="17" spans="1:42" x14ac:dyDescent="0.3">
      <c r="A17" s="7" t="s">
        <v>63</v>
      </c>
      <c r="B17" s="7" t="s">
        <v>64</v>
      </c>
      <c r="C17" s="7" t="s">
        <v>50</v>
      </c>
      <c r="D17" t="str">
        <f t="shared" ca="1" si="0"/>
        <v>""</v>
      </c>
      <c r="E17" s="14">
        <f t="shared" ca="1" si="7"/>
        <v>0</v>
      </c>
      <c r="F17" s="6">
        <f t="shared" ca="1" si="8"/>
        <v>0</v>
      </c>
      <c r="G17" t="s">
        <v>65</v>
      </c>
      <c r="H17" t="str">
        <f t="shared" ca="1" si="1"/>
        <v>""</v>
      </c>
      <c r="I17" s="9">
        <f t="shared" ca="1" si="9"/>
        <v>0</v>
      </c>
      <c r="J17" s="14">
        <f t="shared" ca="1" si="10"/>
        <v>0</v>
      </c>
      <c r="K17" s="14">
        <f t="shared" ca="1" si="10"/>
        <v>0</v>
      </c>
      <c r="L17" s="9">
        <v>0</v>
      </c>
      <c r="M17" t="str">
        <f ca="1">Quotes&amp;Format!N18&amp;UPPER(INDIRECT(M$1,TRUE))&amp;Quotes</f>
        <v>""</v>
      </c>
      <c r="N17" t="str">
        <f t="shared" ca="1" si="2"/>
        <v>","</v>
      </c>
      <c r="O17" t="s">
        <v>66</v>
      </c>
      <c r="P17" t="str">
        <f t="shared" ca="1" si="3"/>
        <v>""</v>
      </c>
      <c r="Q17" t="str">
        <f t="shared" ca="1" si="3"/>
        <v>""</v>
      </c>
      <c r="R17" t="str">
        <f t="shared" ca="1" si="3"/>
        <v>""</v>
      </c>
      <c r="S17" t="str">
        <f t="shared" ca="1" si="3"/>
        <v>""</v>
      </c>
      <c r="T17" t="s">
        <v>66</v>
      </c>
      <c r="U17" s="11" t="s">
        <v>50</v>
      </c>
      <c r="V17" s="7" t="s">
        <v>67</v>
      </c>
      <c r="W17" s="11" t="s">
        <v>50</v>
      </c>
      <c r="X17" t="str">
        <f t="shared" ca="1" si="4"/>
        <v>"P20"</v>
      </c>
      <c r="Y17" s="9">
        <f t="shared" ca="1" si="11"/>
        <v>0</v>
      </c>
      <c r="Z17" s="9">
        <f t="shared" ca="1" si="11"/>
        <v>0</v>
      </c>
      <c r="AA17" s="6" t="s">
        <v>45</v>
      </c>
      <c r="AB17" s="13" t="s">
        <v>50</v>
      </c>
      <c r="AC17" s="7" t="s">
        <v>68</v>
      </c>
      <c r="AD17" s="13" t="s">
        <v>50</v>
      </c>
      <c r="AE17" s="6">
        <f t="shared" ca="1" si="12"/>
        <v>0</v>
      </c>
      <c r="AF17" t="str">
        <f t="shared" ca="1" si="5"/>
        <v>"1"</v>
      </c>
      <c r="AG17" t="str">
        <f t="shared" ca="1" si="5"/>
        <v>"1001.X710.X"</v>
      </c>
      <c r="AH17" s="14">
        <f t="shared" ca="1" si="13"/>
        <v>42277</v>
      </c>
      <c r="AI17" s="6" t="s">
        <v>45</v>
      </c>
      <c r="AJ17" t="str">
        <f t="shared" ca="1" si="6"/>
        <v>""</v>
      </c>
      <c r="AK17" t="str">
        <f t="shared" ca="1" si="6"/>
        <v>""</v>
      </c>
      <c r="AL17" t="str">
        <f t="shared" ca="1" si="6"/>
        <v>"P20"</v>
      </c>
      <c r="AM17" t="s">
        <v>66</v>
      </c>
      <c r="AN17" t="s">
        <v>66</v>
      </c>
      <c r="AO17" s="7" t="s">
        <v>50</v>
      </c>
      <c r="AP17" s="12" t="s">
        <v>58</v>
      </c>
    </row>
    <row r="18" spans="1:42" x14ac:dyDescent="0.3">
      <c r="A18" s="7" t="s">
        <v>63</v>
      </c>
      <c r="B18" s="7" t="s">
        <v>64</v>
      </c>
      <c r="C18" s="7" t="s">
        <v>50</v>
      </c>
      <c r="D18" t="str">
        <f t="shared" ca="1" si="0"/>
        <v>""</v>
      </c>
      <c r="E18" s="14">
        <f t="shared" ca="1" si="7"/>
        <v>0</v>
      </c>
      <c r="F18" s="6">
        <f t="shared" ca="1" si="8"/>
        <v>0</v>
      </c>
      <c r="G18" t="s">
        <v>65</v>
      </c>
      <c r="H18" t="str">
        <f t="shared" ca="1" si="1"/>
        <v>""</v>
      </c>
      <c r="I18" s="9">
        <f t="shared" ca="1" si="9"/>
        <v>0</v>
      </c>
      <c r="J18" s="14">
        <f t="shared" ca="1" si="10"/>
        <v>0</v>
      </c>
      <c r="K18" s="14">
        <f t="shared" ca="1" si="10"/>
        <v>0</v>
      </c>
      <c r="L18" s="9">
        <v>0</v>
      </c>
      <c r="M18" t="str">
        <f ca="1">Quotes&amp;Format!N19&amp;UPPER(INDIRECT(M$1,TRUE))&amp;Quotes</f>
        <v>""</v>
      </c>
      <c r="N18" t="str">
        <f t="shared" ca="1" si="2"/>
        <v>","</v>
      </c>
      <c r="O18" t="s">
        <v>66</v>
      </c>
      <c r="P18" t="str">
        <f t="shared" ca="1" si="3"/>
        <v>""</v>
      </c>
      <c r="Q18" t="str">
        <f t="shared" ca="1" si="3"/>
        <v>""</v>
      </c>
      <c r="R18" t="str">
        <f t="shared" ca="1" si="3"/>
        <v>""</v>
      </c>
      <c r="S18" t="str">
        <f t="shared" ca="1" si="3"/>
        <v>""</v>
      </c>
      <c r="T18" t="s">
        <v>66</v>
      </c>
      <c r="U18" s="11" t="s">
        <v>50</v>
      </c>
      <c r="V18" s="7" t="s">
        <v>67</v>
      </c>
      <c r="W18" s="11" t="s">
        <v>50</v>
      </c>
      <c r="X18" t="str">
        <f t="shared" ca="1" si="4"/>
        <v>"P20"</v>
      </c>
      <c r="Y18" s="9">
        <f t="shared" ca="1" si="11"/>
        <v>0</v>
      </c>
      <c r="Z18" s="9">
        <f t="shared" ca="1" si="11"/>
        <v>0</v>
      </c>
      <c r="AA18" s="6" t="s">
        <v>45</v>
      </c>
      <c r="AB18" s="13" t="s">
        <v>50</v>
      </c>
      <c r="AC18" s="7" t="s">
        <v>68</v>
      </c>
      <c r="AD18" s="13" t="s">
        <v>50</v>
      </c>
      <c r="AE18" s="6">
        <f t="shared" ca="1" si="12"/>
        <v>0</v>
      </c>
      <c r="AF18" t="str">
        <f t="shared" ca="1" si="5"/>
        <v>"1"</v>
      </c>
      <c r="AG18" t="str">
        <f t="shared" ca="1" si="5"/>
        <v>"1001.X710.X"</v>
      </c>
      <c r="AH18" s="14">
        <f t="shared" ca="1" si="13"/>
        <v>42277</v>
      </c>
      <c r="AI18" s="6" t="s">
        <v>45</v>
      </c>
      <c r="AJ18" t="str">
        <f t="shared" ca="1" si="6"/>
        <v>""</v>
      </c>
      <c r="AK18" t="str">
        <f t="shared" ca="1" si="6"/>
        <v>""</v>
      </c>
      <c r="AL18" t="str">
        <f t="shared" ca="1" si="6"/>
        <v>"P20"</v>
      </c>
      <c r="AM18" t="s">
        <v>66</v>
      </c>
      <c r="AN18" t="s">
        <v>66</v>
      </c>
      <c r="AO18" s="7" t="s">
        <v>50</v>
      </c>
      <c r="AP18" s="12" t="s">
        <v>58</v>
      </c>
    </row>
    <row r="19" spans="1:42" x14ac:dyDescent="0.3">
      <c r="A19" s="7" t="s">
        <v>63</v>
      </c>
      <c r="B19" s="7" t="s">
        <v>64</v>
      </c>
      <c r="C19" s="7" t="s">
        <v>50</v>
      </c>
      <c r="D19" t="str">
        <f t="shared" ca="1" si="0"/>
        <v>""</v>
      </c>
      <c r="E19" s="14">
        <f t="shared" ca="1" si="7"/>
        <v>0</v>
      </c>
      <c r="F19" s="6">
        <f t="shared" ca="1" si="8"/>
        <v>0</v>
      </c>
      <c r="G19" t="s">
        <v>65</v>
      </c>
      <c r="H19" t="str">
        <f t="shared" ca="1" si="1"/>
        <v>""</v>
      </c>
      <c r="I19" s="9">
        <f t="shared" ca="1" si="9"/>
        <v>0</v>
      </c>
      <c r="J19" s="14">
        <f t="shared" ca="1" si="10"/>
        <v>0</v>
      </c>
      <c r="K19" s="14">
        <f t="shared" ca="1" si="10"/>
        <v>0</v>
      </c>
      <c r="L19" s="9">
        <v>0</v>
      </c>
      <c r="M19" t="str">
        <f ca="1">Quotes&amp;Format!N20&amp;UPPER(INDIRECT(M$1,TRUE))&amp;Quotes</f>
        <v>""</v>
      </c>
      <c r="N19" t="str">
        <f t="shared" ca="1" si="2"/>
        <v>","</v>
      </c>
      <c r="O19" t="s">
        <v>66</v>
      </c>
      <c r="P19" t="str">
        <f t="shared" ca="1" si="3"/>
        <v>""</v>
      </c>
      <c r="Q19" t="str">
        <f t="shared" ca="1" si="3"/>
        <v>""</v>
      </c>
      <c r="R19" t="str">
        <f t="shared" ca="1" si="3"/>
        <v>""</v>
      </c>
      <c r="S19" t="str">
        <f t="shared" ca="1" si="3"/>
        <v>""</v>
      </c>
      <c r="T19" t="s">
        <v>66</v>
      </c>
      <c r="U19" s="11" t="s">
        <v>50</v>
      </c>
      <c r="V19" s="7" t="s">
        <v>67</v>
      </c>
      <c r="W19" s="11" t="s">
        <v>50</v>
      </c>
      <c r="X19" t="str">
        <f t="shared" ca="1" si="4"/>
        <v>"P20"</v>
      </c>
      <c r="Y19" s="9">
        <f t="shared" ca="1" si="11"/>
        <v>0</v>
      </c>
      <c r="Z19" s="9">
        <f t="shared" ca="1" si="11"/>
        <v>0</v>
      </c>
      <c r="AA19" s="6" t="s">
        <v>45</v>
      </c>
      <c r="AB19" s="13" t="s">
        <v>50</v>
      </c>
      <c r="AC19" s="7" t="s">
        <v>68</v>
      </c>
      <c r="AD19" s="13" t="s">
        <v>50</v>
      </c>
      <c r="AE19" s="6">
        <f t="shared" ca="1" si="12"/>
        <v>0</v>
      </c>
      <c r="AF19" t="str">
        <f t="shared" ca="1" si="5"/>
        <v>"1"</v>
      </c>
      <c r="AG19" t="str">
        <f t="shared" ca="1" si="5"/>
        <v>"1001.X710.X"</v>
      </c>
      <c r="AH19" s="14">
        <f t="shared" ca="1" si="13"/>
        <v>42277</v>
      </c>
      <c r="AI19" s="6" t="s">
        <v>45</v>
      </c>
      <c r="AJ19" t="str">
        <f t="shared" ca="1" si="6"/>
        <v>""</v>
      </c>
      <c r="AK19" t="str">
        <f t="shared" ca="1" si="6"/>
        <v>""</v>
      </c>
      <c r="AL19" t="str">
        <f t="shared" ca="1" si="6"/>
        <v>"P20"</v>
      </c>
      <c r="AM19" t="s">
        <v>66</v>
      </c>
      <c r="AN19" t="s">
        <v>66</v>
      </c>
      <c r="AO19" s="7" t="s">
        <v>50</v>
      </c>
      <c r="AP19" s="12" t="s">
        <v>58</v>
      </c>
    </row>
    <row r="20" spans="1:42" x14ac:dyDescent="0.3">
      <c r="A20" s="7" t="s">
        <v>63</v>
      </c>
      <c r="B20" s="7" t="s">
        <v>64</v>
      </c>
      <c r="C20" s="7" t="s">
        <v>50</v>
      </c>
      <c r="D20" t="str">
        <f t="shared" ca="1" si="0"/>
        <v>""</v>
      </c>
      <c r="E20" s="14">
        <f t="shared" ca="1" si="7"/>
        <v>0</v>
      </c>
      <c r="F20" s="6">
        <f t="shared" ca="1" si="8"/>
        <v>0</v>
      </c>
      <c r="G20" t="s">
        <v>65</v>
      </c>
      <c r="H20" t="str">
        <f t="shared" ca="1" si="1"/>
        <v>""</v>
      </c>
      <c r="I20" s="9">
        <f t="shared" ca="1" si="9"/>
        <v>0</v>
      </c>
      <c r="J20" s="14">
        <f t="shared" ca="1" si="10"/>
        <v>0</v>
      </c>
      <c r="K20" s="14">
        <f t="shared" ca="1" si="10"/>
        <v>0</v>
      </c>
      <c r="L20" s="9">
        <v>0</v>
      </c>
      <c r="M20" t="str">
        <f ca="1">Quotes&amp;Format!N21&amp;UPPER(INDIRECT(M$1,TRUE))&amp;Quotes</f>
        <v>""</v>
      </c>
      <c r="N20" t="str">
        <f t="shared" ca="1" si="2"/>
        <v>","</v>
      </c>
      <c r="O20" t="s">
        <v>66</v>
      </c>
      <c r="P20" t="str">
        <f t="shared" ref="P20:S83" ca="1" si="14">Quotes&amp;IF(INDIRECT(P$1,TRUE)="","""",UPPER(INDIRECT(P$1,TRUE))&amp;Quotes)</f>
        <v>""</v>
      </c>
      <c r="Q20" t="str">
        <f t="shared" ca="1" si="14"/>
        <v>""</v>
      </c>
      <c r="R20" t="str">
        <f t="shared" ca="1" si="14"/>
        <v>""</v>
      </c>
      <c r="S20" t="str">
        <f t="shared" ca="1" si="14"/>
        <v>""</v>
      </c>
      <c r="T20" t="s">
        <v>66</v>
      </c>
      <c r="U20" s="11" t="s">
        <v>50</v>
      </c>
      <c r="V20" s="7" t="s">
        <v>67</v>
      </c>
      <c r="W20" s="11" t="s">
        <v>50</v>
      </c>
      <c r="X20" t="str">
        <f t="shared" ca="1" si="4"/>
        <v>"P20"</v>
      </c>
      <c r="Y20" s="9">
        <f t="shared" ca="1" si="11"/>
        <v>0</v>
      </c>
      <c r="Z20" s="9">
        <f t="shared" ca="1" si="11"/>
        <v>0</v>
      </c>
      <c r="AA20" s="6" t="s">
        <v>45</v>
      </c>
      <c r="AB20" s="13" t="s">
        <v>50</v>
      </c>
      <c r="AC20" s="7" t="s">
        <v>68</v>
      </c>
      <c r="AD20" s="13" t="s">
        <v>50</v>
      </c>
      <c r="AE20" s="6">
        <f t="shared" ca="1" si="12"/>
        <v>0</v>
      </c>
      <c r="AF20" t="str">
        <f t="shared" ca="1" si="5"/>
        <v>"1"</v>
      </c>
      <c r="AG20" t="str">
        <f t="shared" ca="1" si="5"/>
        <v>"1001.X710.X"</v>
      </c>
      <c r="AH20" s="14">
        <f t="shared" ca="1" si="13"/>
        <v>42277</v>
      </c>
      <c r="AI20" s="6" t="s">
        <v>45</v>
      </c>
      <c r="AJ20" t="str">
        <f t="shared" ca="1" si="6"/>
        <v>""</v>
      </c>
      <c r="AK20" t="str">
        <f t="shared" ca="1" si="6"/>
        <v>""</v>
      </c>
      <c r="AL20" t="str">
        <f t="shared" ca="1" si="6"/>
        <v>"P20"</v>
      </c>
      <c r="AM20" t="s">
        <v>66</v>
      </c>
      <c r="AN20" t="s">
        <v>66</v>
      </c>
      <c r="AO20" s="7" t="s">
        <v>50</v>
      </c>
      <c r="AP20" s="12" t="s">
        <v>58</v>
      </c>
    </row>
    <row r="21" spans="1:42" x14ac:dyDescent="0.3">
      <c r="A21" s="7" t="s">
        <v>63</v>
      </c>
      <c r="B21" s="7" t="s">
        <v>64</v>
      </c>
      <c r="C21" s="7" t="s">
        <v>50</v>
      </c>
      <c r="D21" t="str">
        <f t="shared" ca="1" si="0"/>
        <v>""</v>
      </c>
      <c r="E21" s="14">
        <f t="shared" ca="1" si="7"/>
        <v>0</v>
      </c>
      <c r="F21" s="6">
        <f t="shared" ca="1" si="8"/>
        <v>0</v>
      </c>
      <c r="G21" t="s">
        <v>65</v>
      </c>
      <c r="H21" t="str">
        <f t="shared" ca="1" si="1"/>
        <v>""</v>
      </c>
      <c r="I21" s="9">
        <f t="shared" ca="1" si="9"/>
        <v>0</v>
      </c>
      <c r="J21" s="14">
        <f t="shared" ca="1" si="10"/>
        <v>0</v>
      </c>
      <c r="K21" s="14">
        <f t="shared" ca="1" si="10"/>
        <v>0</v>
      </c>
      <c r="L21" s="9">
        <v>0</v>
      </c>
      <c r="M21" t="str">
        <f ca="1">Quotes&amp;Format!N22&amp;UPPER(INDIRECT(M$1,TRUE))&amp;Quotes</f>
        <v>""</v>
      </c>
      <c r="N21" t="str">
        <f t="shared" ca="1" si="2"/>
        <v>","</v>
      </c>
      <c r="O21" t="s">
        <v>66</v>
      </c>
      <c r="P21" t="str">
        <f t="shared" ca="1" si="14"/>
        <v>""</v>
      </c>
      <c r="Q21" t="str">
        <f t="shared" ca="1" si="14"/>
        <v>""</v>
      </c>
      <c r="R21" t="str">
        <f t="shared" ca="1" si="14"/>
        <v>""</v>
      </c>
      <c r="S21" t="str">
        <f t="shared" ca="1" si="14"/>
        <v>""</v>
      </c>
      <c r="T21" t="s">
        <v>66</v>
      </c>
      <c r="U21" s="11" t="s">
        <v>50</v>
      </c>
      <c r="V21" s="7" t="s">
        <v>67</v>
      </c>
      <c r="W21" s="11" t="s">
        <v>50</v>
      </c>
      <c r="X21" t="str">
        <f t="shared" ca="1" si="4"/>
        <v>"P20"</v>
      </c>
      <c r="Y21" s="9">
        <f t="shared" ca="1" si="11"/>
        <v>0</v>
      </c>
      <c r="Z21" s="9">
        <f t="shared" ca="1" si="11"/>
        <v>0</v>
      </c>
      <c r="AA21" s="6" t="s">
        <v>45</v>
      </c>
      <c r="AB21" s="13" t="s">
        <v>50</v>
      </c>
      <c r="AC21" s="7" t="s">
        <v>68</v>
      </c>
      <c r="AD21" s="13" t="s">
        <v>50</v>
      </c>
      <c r="AE21" s="6">
        <f t="shared" ca="1" si="12"/>
        <v>0</v>
      </c>
      <c r="AF21" t="str">
        <f t="shared" ca="1" si="5"/>
        <v>"1"</v>
      </c>
      <c r="AG21" t="str">
        <f t="shared" ca="1" si="5"/>
        <v>"1001.X710.X"</v>
      </c>
      <c r="AH21" s="14">
        <f t="shared" ca="1" si="13"/>
        <v>42277</v>
      </c>
      <c r="AI21" s="6" t="s">
        <v>45</v>
      </c>
      <c r="AJ21" t="str">
        <f t="shared" ca="1" si="6"/>
        <v>""</v>
      </c>
      <c r="AK21" t="str">
        <f t="shared" ca="1" si="6"/>
        <v>""</v>
      </c>
      <c r="AL21" t="str">
        <f t="shared" ca="1" si="6"/>
        <v>"P20"</v>
      </c>
      <c r="AM21" t="s">
        <v>66</v>
      </c>
      <c r="AN21" t="s">
        <v>66</v>
      </c>
      <c r="AO21" s="7" t="s">
        <v>50</v>
      </c>
      <c r="AP21" s="12" t="s">
        <v>58</v>
      </c>
    </row>
    <row r="22" spans="1:42" x14ac:dyDescent="0.3">
      <c r="A22" s="7" t="s">
        <v>63</v>
      </c>
      <c r="B22" s="7" t="s">
        <v>64</v>
      </c>
      <c r="C22" s="7" t="s">
        <v>50</v>
      </c>
      <c r="D22" t="str">
        <f t="shared" ca="1" si="0"/>
        <v>""</v>
      </c>
      <c r="E22" s="14">
        <f t="shared" ca="1" si="7"/>
        <v>0</v>
      </c>
      <c r="F22" s="6">
        <f t="shared" ca="1" si="8"/>
        <v>0</v>
      </c>
      <c r="G22" t="s">
        <v>65</v>
      </c>
      <c r="H22" t="str">
        <f t="shared" ca="1" si="1"/>
        <v>""</v>
      </c>
      <c r="I22" s="9">
        <f t="shared" ca="1" si="9"/>
        <v>0</v>
      </c>
      <c r="J22" s="14">
        <f t="shared" ca="1" si="10"/>
        <v>0</v>
      </c>
      <c r="K22" s="14">
        <f t="shared" ca="1" si="10"/>
        <v>0</v>
      </c>
      <c r="L22" s="9">
        <v>0</v>
      </c>
      <c r="M22" t="str">
        <f ca="1">Quotes&amp;Format!N23&amp;UPPER(INDIRECT(M$1,TRUE))&amp;Quotes</f>
        <v>""</v>
      </c>
      <c r="N22" t="str">
        <f t="shared" ca="1" si="2"/>
        <v>","</v>
      </c>
      <c r="O22" t="s">
        <v>66</v>
      </c>
      <c r="P22" t="str">
        <f t="shared" ca="1" si="14"/>
        <v>""</v>
      </c>
      <c r="Q22" t="str">
        <f t="shared" ca="1" si="14"/>
        <v>""</v>
      </c>
      <c r="R22" t="str">
        <f t="shared" ca="1" si="14"/>
        <v>""</v>
      </c>
      <c r="S22" t="str">
        <f t="shared" ca="1" si="14"/>
        <v>""</v>
      </c>
      <c r="T22" t="s">
        <v>66</v>
      </c>
      <c r="U22" s="11" t="s">
        <v>50</v>
      </c>
      <c r="V22" s="7" t="s">
        <v>67</v>
      </c>
      <c r="W22" s="11" t="s">
        <v>50</v>
      </c>
      <c r="X22" t="str">
        <f t="shared" ca="1" si="4"/>
        <v>"P20"</v>
      </c>
      <c r="Y22" s="9">
        <f t="shared" ca="1" si="11"/>
        <v>0</v>
      </c>
      <c r="Z22" s="9">
        <f t="shared" ca="1" si="11"/>
        <v>0</v>
      </c>
      <c r="AA22" s="6" t="s">
        <v>45</v>
      </c>
      <c r="AB22" s="13" t="s">
        <v>50</v>
      </c>
      <c r="AC22" s="7" t="s">
        <v>68</v>
      </c>
      <c r="AD22" s="13" t="s">
        <v>50</v>
      </c>
      <c r="AE22" s="6">
        <f t="shared" ca="1" si="12"/>
        <v>0</v>
      </c>
      <c r="AF22" t="str">
        <f t="shared" ca="1" si="5"/>
        <v>"1"</v>
      </c>
      <c r="AG22" t="str">
        <f t="shared" ca="1" si="5"/>
        <v>"1001.X710.X"</v>
      </c>
      <c r="AH22" s="14">
        <f t="shared" ca="1" si="13"/>
        <v>42277</v>
      </c>
      <c r="AI22" s="6" t="s">
        <v>45</v>
      </c>
      <c r="AJ22" t="str">
        <f t="shared" ca="1" si="6"/>
        <v>""</v>
      </c>
      <c r="AK22" t="str">
        <f t="shared" ca="1" si="6"/>
        <v>""</v>
      </c>
      <c r="AL22" t="str">
        <f t="shared" ca="1" si="6"/>
        <v>"P20"</v>
      </c>
      <c r="AM22" t="s">
        <v>66</v>
      </c>
      <c r="AN22" t="s">
        <v>66</v>
      </c>
      <c r="AO22" s="7" t="s">
        <v>50</v>
      </c>
      <c r="AP22" s="12" t="s">
        <v>58</v>
      </c>
    </row>
    <row r="23" spans="1:42" x14ac:dyDescent="0.3">
      <c r="A23" s="7" t="s">
        <v>63</v>
      </c>
      <c r="B23" s="7" t="s">
        <v>64</v>
      </c>
      <c r="C23" s="7" t="s">
        <v>50</v>
      </c>
      <c r="D23" t="str">
        <f t="shared" ca="1" si="0"/>
        <v>""</v>
      </c>
      <c r="E23" s="14">
        <f t="shared" ca="1" si="7"/>
        <v>0</v>
      </c>
      <c r="F23" s="6">
        <f t="shared" ca="1" si="8"/>
        <v>0</v>
      </c>
      <c r="G23" t="s">
        <v>65</v>
      </c>
      <c r="H23" t="str">
        <f t="shared" ca="1" si="1"/>
        <v>""</v>
      </c>
      <c r="I23" s="9">
        <f t="shared" ca="1" si="9"/>
        <v>0</v>
      </c>
      <c r="J23" s="14">
        <f t="shared" ca="1" si="10"/>
        <v>0</v>
      </c>
      <c r="K23" s="14">
        <f t="shared" ca="1" si="10"/>
        <v>0</v>
      </c>
      <c r="L23" s="9">
        <v>0</v>
      </c>
      <c r="M23" t="str">
        <f ca="1">Quotes&amp;Format!N24&amp;UPPER(INDIRECT(M$1,TRUE))&amp;Quotes</f>
        <v>""</v>
      </c>
      <c r="N23" t="str">
        <f t="shared" ca="1" si="2"/>
        <v>","</v>
      </c>
      <c r="O23" t="s">
        <v>66</v>
      </c>
      <c r="P23" t="str">
        <f t="shared" ca="1" si="14"/>
        <v>""</v>
      </c>
      <c r="Q23" t="str">
        <f t="shared" ca="1" si="14"/>
        <v>""</v>
      </c>
      <c r="R23" t="str">
        <f t="shared" ca="1" si="14"/>
        <v>""</v>
      </c>
      <c r="S23" t="str">
        <f t="shared" ca="1" si="14"/>
        <v>""</v>
      </c>
      <c r="T23" t="s">
        <v>66</v>
      </c>
      <c r="U23" s="11" t="s">
        <v>50</v>
      </c>
      <c r="V23" s="7" t="s">
        <v>67</v>
      </c>
      <c r="W23" s="11" t="s">
        <v>50</v>
      </c>
      <c r="X23" t="str">
        <f t="shared" ca="1" si="4"/>
        <v>"P20"</v>
      </c>
      <c r="Y23" s="9">
        <f t="shared" ca="1" si="11"/>
        <v>0</v>
      </c>
      <c r="Z23" s="9">
        <f t="shared" ca="1" si="11"/>
        <v>0</v>
      </c>
      <c r="AA23" s="6" t="s">
        <v>45</v>
      </c>
      <c r="AB23" s="13" t="s">
        <v>50</v>
      </c>
      <c r="AC23" s="7" t="s">
        <v>68</v>
      </c>
      <c r="AD23" s="13" t="s">
        <v>50</v>
      </c>
      <c r="AE23" s="6">
        <f t="shared" ca="1" si="12"/>
        <v>0</v>
      </c>
      <c r="AF23" t="str">
        <f t="shared" ca="1" si="5"/>
        <v>"1"</v>
      </c>
      <c r="AG23" t="str">
        <f t="shared" ca="1" si="5"/>
        <v>"1001.X710.X"</v>
      </c>
      <c r="AH23" s="14">
        <f t="shared" ca="1" si="13"/>
        <v>42277</v>
      </c>
      <c r="AI23" s="6" t="s">
        <v>45</v>
      </c>
      <c r="AJ23" t="str">
        <f t="shared" ca="1" si="6"/>
        <v>""</v>
      </c>
      <c r="AK23" t="str">
        <f t="shared" ca="1" si="6"/>
        <v>""</v>
      </c>
      <c r="AL23" t="str">
        <f t="shared" ca="1" si="6"/>
        <v>"P20"</v>
      </c>
      <c r="AM23" t="s">
        <v>66</v>
      </c>
      <c r="AN23" t="s">
        <v>66</v>
      </c>
      <c r="AO23" s="7" t="s">
        <v>50</v>
      </c>
      <c r="AP23" s="12" t="s">
        <v>58</v>
      </c>
    </row>
    <row r="24" spans="1:42" x14ac:dyDescent="0.3">
      <c r="A24" s="7" t="s">
        <v>63</v>
      </c>
      <c r="B24" s="7" t="s">
        <v>64</v>
      </c>
      <c r="C24" s="7" t="s">
        <v>50</v>
      </c>
      <c r="D24" t="str">
        <f t="shared" ca="1" si="0"/>
        <v>""</v>
      </c>
      <c r="E24" s="14">
        <f t="shared" ca="1" si="7"/>
        <v>0</v>
      </c>
      <c r="F24" s="6">
        <f t="shared" ca="1" si="8"/>
        <v>0</v>
      </c>
      <c r="G24" t="s">
        <v>65</v>
      </c>
      <c r="H24" t="str">
        <f t="shared" ca="1" si="1"/>
        <v>""</v>
      </c>
      <c r="I24" s="9">
        <f t="shared" ca="1" si="9"/>
        <v>0</v>
      </c>
      <c r="J24" s="14">
        <f t="shared" ca="1" si="10"/>
        <v>0</v>
      </c>
      <c r="K24" s="14">
        <f t="shared" ca="1" si="10"/>
        <v>0</v>
      </c>
      <c r="L24" s="9">
        <v>0</v>
      </c>
      <c r="M24" t="str">
        <f ca="1">Quotes&amp;Format!N25&amp;UPPER(INDIRECT(M$1,TRUE))&amp;Quotes</f>
        <v>""</v>
      </c>
      <c r="N24" t="str">
        <f t="shared" ca="1" si="2"/>
        <v>","</v>
      </c>
      <c r="O24" t="s">
        <v>66</v>
      </c>
      <c r="P24" t="str">
        <f t="shared" ca="1" si="14"/>
        <v>""</v>
      </c>
      <c r="Q24" t="str">
        <f t="shared" ca="1" si="14"/>
        <v>""</v>
      </c>
      <c r="R24" t="str">
        <f t="shared" ca="1" si="14"/>
        <v>""</v>
      </c>
      <c r="S24" t="str">
        <f t="shared" ca="1" si="14"/>
        <v>""</v>
      </c>
      <c r="T24" t="s">
        <v>66</v>
      </c>
      <c r="U24" s="11" t="s">
        <v>50</v>
      </c>
      <c r="V24" s="7" t="s">
        <v>67</v>
      </c>
      <c r="W24" s="11" t="s">
        <v>50</v>
      </c>
      <c r="X24" t="str">
        <f t="shared" ca="1" si="4"/>
        <v>"P20"</v>
      </c>
      <c r="Y24" s="9">
        <f t="shared" ca="1" si="11"/>
        <v>0</v>
      </c>
      <c r="Z24" s="9">
        <f t="shared" ca="1" si="11"/>
        <v>0</v>
      </c>
      <c r="AA24" s="6" t="s">
        <v>45</v>
      </c>
      <c r="AB24" s="13" t="s">
        <v>50</v>
      </c>
      <c r="AC24" s="7" t="s">
        <v>68</v>
      </c>
      <c r="AD24" s="13" t="s">
        <v>50</v>
      </c>
      <c r="AE24" s="6">
        <f t="shared" ca="1" si="12"/>
        <v>0</v>
      </c>
      <c r="AF24" t="str">
        <f t="shared" ref="AF24:AG43" ca="1" si="15">Quotes&amp;IF(INDIRECT(AF$1,TRUE)="","""",UPPER(INDIRECT(AF$1,TRUE))&amp;Quotes)</f>
        <v>"1"</v>
      </c>
      <c r="AG24" t="str">
        <f t="shared" ca="1" si="15"/>
        <v>"1001.X710.X"</v>
      </c>
      <c r="AH24" s="14">
        <f t="shared" ca="1" si="13"/>
        <v>42277</v>
      </c>
      <c r="AI24" s="6" t="s">
        <v>45</v>
      </c>
      <c r="AJ24" t="str">
        <f t="shared" ca="1" si="6"/>
        <v>""</v>
      </c>
      <c r="AK24" t="str">
        <f t="shared" ca="1" si="6"/>
        <v>""</v>
      </c>
      <c r="AL24" t="str">
        <f t="shared" ca="1" si="6"/>
        <v>"P20"</v>
      </c>
      <c r="AM24" t="s">
        <v>66</v>
      </c>
      <c r="AN24" t="s">
        <v>66</v>
      </c>
      <c r="AO24" s="7" t="s">
        <v>50</v>
      </c>
      <c r="AP24" s="12" t="s">
        <v>58</v>
      </c>
    </row>
    <row r="25" spans="1:42" x14ac:dyDescent="0.3">
      <c r="A25" s="7" t="s">
        <v>63</v>
      </c>
      <c r="B25" s="7" t="s">
        <v>64</v>
      </c>
      <c r="C25" s="7" t="s">
        <v>50</v>
      </c>
      <c r="D25" t="str">
        <f t="shared" ca="1" si="0"/>
        <v>""</v>
      </c>
      <c r="E25" s="14">
        <f t="shared" ca="1" si="7"/>
        <v>0</v>
      </c>
      <c r="F25" s="6">
        <f t="shared" ca="1" si="8"/>
        <v>0</v>
      </c>
      <c r="G25" t="s">
        <v>65</v>
      </c>
      <c r="H25" t="str">
        <f t="shared" ca="1" si="1"/>
        <v>""</v>
      </c>
      <c r="I25" s="9">
        <f t="shared" ca="1" si="9"/>
        <v>0</v>
      </c>
      <c r="J25" s="14">
        <f t="shared" ca="1" si="10"/>
        <v>0</v>
      </c>
      <c r="K25" s="14">
        <f t="shared" ca="1" si="10"/>
        <v>0</v>
      </c>
      <c r="L25" s="9">
        <v>0</v>
      </c>
      <c r="M25" t="str">
        <f ca="1">Quotes&amp;Format!N26&amp;UPPER(INDIRECT(M$1,TRUE))&amp;Quotes</f>
        <v>""</v>
      </c>
      <c r="N25" t="str">
        <f t="shared" ca="1" si="2"/>
        <v>","</v>
      </c>
      <c r="O25" t="s">
        <v>66</v>
      </c>
      <c r="P25" t="str">
        <f t="shared" ca="1" si="14"/>
        <v>""</v>
      </c>
      <c r="Q25" t="str">
        <f t="shared" ca="1" si="14"/>
        <v>""</v>
      </c>
      <c r="R25" t="str">
        <f t="shared" ca="1" si="14"/>
        <v>""</v>
      </c>
      <c r="S25" t="str">
        <f t="shared" ca="1" si="14"/>
        <v>""</v>
      </c>
      <c r="T25" t="s">
        <v>66</v>
      </c>
      <c r="U25" s="11" t="s">
        <v>50</v>
      </c>
      <c r="V25" s="7" t="s">
        <v>67</v>
      </c>
      <c r="W25" s="11" t="s">
        <v>50</v>
      </c>
      <c r="X25" t="str">
        <f t="shared" ca="1" si="4"/>
        <v>"P20"</v>
      </c>
      <c r="Y25" s="9">
        <f t="shared" ca="1" si="11"/>
        <v>0</v>
      </c>
      <c r="Z25" s="9">
        <f t="shared" ca="1" si="11"/>
        <v>0</v>
      </c>
      <c r="AA25" s="6" t="s">
        <v>45</v>
      </c>
      <c r="AB25" s="13" t="s">
        <v>50</v>
      </c>
      <c r="AC25" s="7" t="s">
        <v>68</v>
      </c>
      <c r="AD25" s="13" t="s">
        <v>50</v>
      </c>
      <c r="AE25" s="6">
        <f t="shared" ca="1" si="12"/>
        <v>0</v>
      </c>
      <c r="AF25" t="str">
        <f t="shared" ca="1" si="15"/>
        <v>"1"</v>
      </c>
      <c r="AG25" t="str">
        <f t="shared" ca="1" si="15"/>
        <v>"1001.X710.X"</v>
      </c>
      <c r="AH25" s="14">
        <f t="shared" ca="1" si="13"/>
        <v>42277</v>
      </c>
      <c r="AI25" s="6" t="s">
        <v>45</v>
      </c>
      <c r="AJ25" t="str">
        <f t="shared" ca="1" si="6"/>
        <v>""</v>
      </c>
      <c r="AK25" t="str">
        <f t="shared" ca="1" si="6"/>
        <v>""</v>
      </c>
      <c r="AL25" t="str">
        <f t="shared" ca="1" si="6"/>
        <v>"P20"</v>
      </c>
      <c r="AM25" t="s">
        <v>66</v>
      </c>
      <c r="AN25" t="s">
        <v>66</v>
      </c>
      <c r="AO25" s="7" t="s">
        <v>50</v>
      </c>
      <c r="AP25" s="12" t="s">
        <v>58</v>
      </c>
    </row>
    <row r="26" spans="1:42" x14ac:dyDescent="0.3">
      <c r="A26" s="7" t="s">
        <v>63</v>
      </c>
      <c r="B26" s="7" t="s">
        <v>64</v>
      </c>
      <c r="C26" s="7" t="s">
        <v>50</v>
      </c>
      <c r="D26" t="str">
        <f t="shared" ca="1" si="0"/>
        <v>""</v>
      </c>
      <c r="E26" s="14">
        <f t="shared" ca="1" si="7"/>
        <v>0</v>
      </c>
      <c r="F26" s="6">
        <f t="shared" ca="1" si="8"/>
        <v>0</v>
      </c>
      <c r="G26" t="s">
        <v>65</v>
      </c>
      <c r="H26" t="str">
        <f t="shared" ca="1" si="1"/>
        <v>""</v>
      </c>
      <c r="I26" s="9">
        <f t="shared" ca="1" si="9"/>
        <v>0</v>
      </c>
      <c r="J26" s="14">
        <f t="shared" ca="1" si="10"/>
        <v>0</v>
      </c>
      <c r="K26" s="14">
        <f t="shared" ca="1" si="10"/>
        <v>0</v>
      </c>
      <c r="L26" s="9">
        <v>0</v>
      </c>
      <c r="M26" t="str">
        <f ca="1">Quotes&amp;Format!N27&amp;UPPER(INDIRECT(M$1,TRUE))&amp;Quotes</f>
        <v>""</v>
      </c>
      <c r="N26" t="str">
        <f t="shared" ca="1" si="2"/>
        <v>","</v>
      </c>
      <c r="O26" t="s">
        <v>66</v>
      </c>
      <c r="P26" t="str">
        <f t="shared" ca="1" si="14"/>
        <v>""</v>
      </c>
      <c r="Q26" t="str">
        <f t="shared" ca="1" si="14"/>
        <v>""</v>
      </c>
      <c r="R26" t="str">
        <f t="shared" ca="1" si="14"/>
        <v>""</v>
      </c>
      <c r="S26" t="str">
        <f t="shared" ca="1" si="14"/>
        <v>""</v>
      </c>
      <c r="T26" t="s">
        <v>66</v>
      </c>
      <c r="U26" s="11" t="s">
        <v>50</v>
      </c>
      <c r="V26" s="7" t="s">
        <v>67</v>
      </c>
      <c r="W26" s="11" t="s">
        <v>50</v>
      </c>
      <c r="X26" t="str">
        <f t="shared" ca="1" si="4"/>
        <v>"P20"</v>
      </c>
      <c r="Y26" s="9">
        <f t="shared" ca="1" si="11"/>
        <v>0</v>
      </c>
      <c r="Z26" s="9">
        <f t="shared" ca="1" si="11"/>
        <v>0</v>
      </c>
      <c r="AA26" s="6" t="s">
        <v>45</v>
      </c>
      <c r="AB26" s="13" t="s">
        <v>50</v>
      </c>
      <c r="AC26" s="7" t="s">
        <v>68</v>
      </c>
      <c r="AD26" s="13" t="s">
        <v>50</v>
      </c>
      <c r="AE26" s="6">
        <f t="shared" ca="1" si="12"/>
        <v>0</v>
      </c>
      <c r="AF26" t="str">
        <f t="shared" ca="1" si="15"/>
        <v>"1"</v>
      </c>
      <c r="AG26" t="str">
        <f t="shared" ca="1" si="15"/>
        <v>"1001.X710.X"</v>
      </c>
      <c r="AH26" s="14">
        <f t="shared" ca="1" si="13"/>
        <v>42277</v>
      </c>
      <c r="AI26" s="6" t="s">
        <v>45</v>
      </c>
      <c r="AJ26" t="str">
        <f t="shared" ca="1" si="6"/>
        <v>""</v>
      </c>
      <c r="AK26" t="str">
        <f t="shared" ca="1" si="6"/>
        <v>""</v>
      </c>
      <c r="AL26" t="str">
        <f t="shared" ca="1" si="6"/>
        <v>"P20"</v>
      </c>
      <c r="AM26" t="s">
        <v>66</v>
      </c>
      <c r="AN26" t="s">
        <v>66</v>
      </c>
      <c r="AO26" s="7" t="s">
        <v>50</v>
      </c>
      <c r="AP26" s="12" t="s">
        <v>58</v>
      </c>
    </row>
    <row r="27" spans="1:42" x14ac:dyDescent="0.3">
      <c r="A27" s="7" t="s">
        <v>63</v>
      </c>
      <c r="B27" s="7" t="s">
        <v>64</v>
      </c>
      <c r="C27" s="7" t="s">
        <v>50</v>
      </c>
      <c r="D27" t="str">
        <f t="shared" ca="1" si="0"/>
        <v>""</v>
      </c>
      <c r="E27" s="14">
        <f t="shared" ca="1" si="7"/>
        <v>0</v>
      </c>
      <c r="F27" s="6">
        <f t="shared" ca="1" si="8"/>
        <v>0</v>
      </c>
      <c r="G27" t="s">
        <v>65</v>
      </c>
      <c r="H27" t="str">
        <f t="shared" ca="1" si="1"/>
        <v>""</v>
      </c>
      <c r="I27" s="9">
        <f t="shared" ca="1" si="9"/>
        <v>0</v>
      </c>
      <c r="J27" s="14">
        <f t="shared" ca="1" si="10"/>
        <v>0</v>
      </c>
      <c r="K27" s="14">
        <f t="shared" ca="1" si="10"/>
        <v>0</v>
      </c>
      <c r="L27" s="9">
        <v>0</v>
      </c>
      <c r="M27" t="str">
        <f ca="1">Quotes&amp;Format!N28&amp;UPPER(INDIRECT(M$1,TRUE))&amp;Quotes</f>
        <v>""</v>
      </c>
      <c r="N27" t="str">
        <f t="shared" ca="1" si="2"/>
        <v>","</v>
      </c>
      <c r="O27" t="s">
        <v>66</v>
      </c>
      <c r="P27" t="str">
        <f t="shared" ca="1" si="14"/>
        <v>""</v>
      </c>
      <c r="Q27" t="str">
        <f t="shared" ca="1" si="14"/>
        <v>""</v>
      </c>
      <c r="R27" t="str">
        <f t="shared" ca="1" si="14"/>
        <v>""</v>
      </c>
      <c r="S27" t="str">
        <f t="shared" ca="1" si="14"/>
        <v>""</v>
      </c>
      <c r="T27" t="s">
        <v>66</v>
      </c>
      <c r="U27" s="11" t="s">
        <v>50</v>
      </c>
      <c r="V27" s="7" t="s">
        <v>67</v>
      </c>
      <c r="W27" s="11" t="s">
        <v>50</v>
      </c>
      <c r="X27" t="str">
        <f t="shared" ca="1" si="4"/>
        <v>"P20"</v>
      </c>
      <c r="Y27" s="9">
        <f t="shared" ca="1" si="11"/>
        <v>0</v>
      </c>
      <c r="Z27" s="9">
        <f t="shared" ca="1" si="11"/>
        <v>0</v>
      </c>
      <c r="AA27" s="6" t="s">
        <v>45</v>
      </c>
      <c r="AB27" s="13" t="s">
        <v>50</v>
      </c>
      <c r="AC27" s="7" t="s">
        <v>68</v>
      </c>
      <c r="AD27" s="13" t="s">
        <v>50</v>
      </c>
      <c r="AE27" s="6">
        <f t="shared" ca="1" si="12"/>
        <v>0</v>
      </c>
      <c r="AF27" t="str">
        <f t="shared" ca="1" si="15"/>
        <v>"1"</v>
      </c>
      <c r="AG27" t="str">
        <f t="shared" ca="1" si="15"/>
        <v>"1001.X710.X"</v>
      </c>
      <c r="AH27" s="14">
        <f t="shared" ca="1" si="13"/>
        <v>42277</v>
      </c>
      <c r="AI27" s="6" t="s">
        <v>45</v>
      </c>
      <c r="AJ27" t="str">
        <f t="shared" ca="1" si="6"/>
        <v>""</v>
      </c>
      <c r="AK27" t="str">
        <f t="shared" ca="1" si="6"/>
        <v>""</v>
      </c>
      <c r="AL27" t="str">
        <f t="shared" ca="1" si="6"/>
        <v>"P20"</v>
      </c>
      <c r="AM27" t="s">
        <v>66</v>
      </c>
      <c r="AN27" t="s">
        <v>66</v>
      </c>
      <c r="AO27" s="7" t="s">
        <v>50</v>
      </c>
      <c r="AP27" s="12" t="s">
        <v>58</v>
      </c>
    </row>
    <row r="28" spans="1:42" x14ac:dyDescent="0.3">
      <c r="A28" s="7" t="s">
        <v>63</v>
      </c>
      <c r="B28" s="7" t="s">
        <v>64</v>
      </c>
      <c r="C28" s="7" t="s">
        <v>50</v>
      </c>
      <c r="D28" t="str">
        <f t="shared" ca="1" si="0"/>
        <v>""</v>
      </c>
      <c r="E28" s="14">
        <f t="shared" ca="1" si="7"/>
        <v>0</v>
      </c>
      <c r="F28" s="6">
        <f t="shared" ca="1" si="8"/>
        <v>0</v>
      </c>
      <c r="G28" t="s">
        <v>65</v>
      </c>
      <c r="H28" t="str">
        <f t="shared" ca="1" si="1"/>
        <v>""</v>
      </c>
      <c r="I28" s="9">
        <f t="shared" ca="1" si="9"/>
        <v>0</v>
      </c>
      <c r="J28" s="14">
        <f t="shared" ca="1" si="10"/>
        <v>0</v>
      </c>
      <c r="K28" s="14">
        <f t="shared" ca="1" si="10"/>
        <v>0</v>
      </c>
      <c r="L28" s="9">
        <v>0</v>
      </c>
      <c r="M28" t="str">
        <f ca="1">Quotes&amp;Format!N29&amp;UPPER(INDIRECT(M$1,TRUE))&amp;Quotes</f>
        <v>""</v>
      </c>
      <c r="N28" t="str">
        <f t="shared" ca="1" si="2"/>
        <v>","</v>
      </c>
      <c r="O28" t="s">
        <v>66</v>
      </c>
      <c r="P28" t="str">
        <f t="shared" ca="1" si="14"/>
        <v>""</v>
      </c>
      <c r="Q28" t="str">
        <f t="shared" ca="1" si="14"/>
        <v>""</v>
      </c>
      <c r="R28" t="str">
        <f t="shared" ca="1" si="14"/>
        <v>""</v>
      </c>
      <c r="S28" t="str">
        <f t="shared" ca="1" si="14"/>
        <v>""</v>
      </c>
      <c r="T28" t="s">
        <v>66</v>
      </c>
      <c r="U28" s="11" t="s">
        <v>50</v>
      </c>
      <c r="V28" s="7" t="s">
        <v>67</v>
      </c>
      <c r="W28" s="11" t="s">
        <v>50</v>
      </c>
      <c r="X28" t="str">
        <f t="shared" ca="1" si="4"/>
        <v>"P20"</v>
      </c>
      <c r="Y28" s="9">
        <f t="shared" ca="1" si="11"/>
        <v>0</v>
      </c>
      <c r="Z28" s="9">
        <f t="shared" ca="1" si="11"/>
        <v>0</v>
      </c>
      <c r="AA28" s="6" t="s">
        <v>45</v>
      </c>
      <c r="AB28" s="13" t="s">
        <v>50</v>
      </c>
      <c r="AC28" s="7" t="s">
        <v>68</v>
      </c>
      <c r="AD28" s="13" t="s">
        <v>50</v>
      </c>
      <c r="AE28" s="6">
        <f t="shared" ca="1" si="12"/>
        <v>0</v>
      </c>
      <c r="AF28" t="str">
        <f t="shared" ca="1" si="15"/>
        <v>"1"</v>
      </c>
      <c r="AG28" t="str">
        <f t="shared" ca="1" si="15"/>
        <v>"1001.X710.X"</v>
      </c>
      <c r="AH28" s="14">
        <f t="shared" ca="1" si="13"/>
        <v>42277</v>
      </c>
      <c r="AI28" s="6" t="s">
        <v>45</v>
      </c>
      <c r="AJ28" t="str">
        <f t="shared" ca="1" si="6"/>
        <v>""</v>
      </c>
      <c r="AK28" t="str">
        <f t="shared" ca="1" si="6"/>
        <v>""</v>
      </c>
      <c r="AL28" t="str">
        <f t="shared" ca="1" si="6"/>
        <v>"P20"</v>
      </c>
      <c r="AM28" t="s">
        <v>66</v>
      </c>
      <c r="AN28" t="s">
        <v>66</v>
      </c>
      <c r="AO28" s="7" t="s">
        <v>50</v>
      </c>
      <c r="AP28" s="12" t="s">
        <v>58</v>
      </c>
    </row>
    <row r="29" spans="1:42" x14ac:dyDescent="0.3">
      <c r="A29" s="7" t="s">
        <v>63</v>
      </c>
      <c r="B29" s="7" t="s">
        <v>64</v>
      </c>
      <c r="C29" s="7" t="s">
        <v>50</v>
      </c>
      <c r="D29" t="str">
        <f t="shared" ca="1" si="0"/>
        <v>""</v>
      </c>
      <c r="E29" s="14">
        <f t="shared" ca="1" si="7"/>
        <v>0</v>
      </c>
      <c r="F29" s="6">
        <f t="shared" ca="1" si="8"/>
        <v>0</v>
      </c>
      <c r="G29" t="s">
        <v>65</v>
      </c>
      <c r="H29" t="str">
        <f t="shared" ca="1" si="1"/>
        <v>""</v>
      </c>
      <c r="I29" s="9">
        <f t="shared" ca="1" si="9"/>
        <v>0</v>
      </c>
      <c r="J29" s="14">
        <f t="shared" ca="1" si="10"/>
        <v>0</v>
      </c>
      <c r="K29" s="14">
        <f t="shared" ca="1" si="10"/>
        <v>0</v>
      </c>
      <c r="L29" s="9">
        <v>0</v>
      </c>
      <c r="M29" t="str">
        <f ca="1">Quotes&amp;Format!N30&amp;UPPER(INDIRECT(M$1,TRUE))&amp;Quotes</f>
        <v>""</v>
      </c>
      <c r="N29" t="str">
        <f t="shared" ca="1" si="2"/>
        <v>","</v>
      </c>
      <c r="O29" t="s">
        <v>66</v>
      </c>
      <c r="P29" t="str">
        <f t="shared" ca="1" si="14"/>
        <v>""</v>
      </c>
      <c r="Q29" t="str">
        <f t="shared" ca="1" si="14"/>
        <v>""</v>
      </c>
      <c r="R29" t="str">
        <f t="shared" ca="1" si="14"/>
        <v>""</v>
      </c>
      <c r="S29" t="str">
        <f t="shared" ca="1" si="14"/>
        <v>""</v>
      </c>
      <c r="T29" t="s">
        <v>66</v>
      </c>
      <c r="U29" s="11" t="s">
        <v>50</v>
      </c>
      <c r="V29" s="7" t="s">
        <v>67</v>
      </c>
      <c r="W29" s="11" t="s">
        <v>50</v>
      </c>
      <c r="X29" t="str">
        <f t="shared" ca="1" si="4"/>
        <v>"P20"</v>
      </c>
      <c r="Y29" s="9">
        <f t="shared" ca="1" si="11"/>
        <v>0</v>
      </c>
      <c r="Z29" s="9">
        <f t="shared" ca="1" si="11"/>
        <v>0</v>
      </c>
      <c r="AA29" s="6" t="s">
        <v>45</v>
      </c>
      <c r="AB29" s="13" t="s">
        <v>50</v>
      </c>
      <c r="AC29" s="7" t="s">
        <v>68</v>
      </c>
      <c r="AD29" s="13" t="s">
        <v>50</v>
      </c>
      <c r="AE29" s="6">
        <f t="shared" ca="1" si="12"/>
        <v>0</v>
      </c>
      <c r="AF29" t="str">
        <f t="shared" ca="1" si="15"/>
        <v>"1"</v>
      </c>
      <c r="AG29" t="str">
        <f t="shared" ca="1" si="15"/>
        <v>"1001.X710.X"</v>
      </c>
      <c r="AH29" s="14">
        <f t="shared" ca="1" si="13"/>
        <v>42277</v>
      </c>
      <c r="AI29" s="6" t="s">
        <v>45</v>
      </c>
      <c r="AJ29" t="str">
        <f t="shared" ca="1" si="6"/>
        <v>""</v>
      </c>
      <c r="AK29" t="str">
        <f t="shared" ca="1" si="6"/>
        <v>""</v>
      </c>
      <c r="AL29" t="str">
        <f t="shared" ca="1" si="6"/>
        <v>"P20"</v>
      </c>
      <c r="AM29" t="s">
        <v>66</v>
      </c>
      <c r="AN29" t="s">
        <v>66</v>
      </c>
      <c r="AO29" s="7" t="s">
        <v>50</v>
      </c>
      <c r="AP29" s="12" t="s">
        <v>58</v>
      </c>
    </row>
    <row r="30" spans="1:42" x14ac:dyDescent="0.3">
      <c r="A30" s="7" t="s">
        <v>63</v>
      </c>
      <c r="B30" s="7" t="s">
        <v>64</v>
      </c>
      <c r="C30" s="7" t="s">
        <v>50</v>
      </c>
      <c r="D30" t="str">
        <f t="shared" ca="1" si="0"/>
        <v>""</v>
      </c>
      <c r="E30" s="14">
        <f t="shared" ca="1" si="7"/>
        <v>0</v>
      </c>
      <c r="F30" s="6">
        <f t="shared" ca="1" si="8"/>
        <v>0</v>
      </c>
      <c r="G30" t="s">
        <v>65</v>
      </c>
      <c r="H30" t="str">
        <f t="shared" ca="1" si="1"/>
        <v>""</v>
      </c>
      <c r="I30" s="9">
        <f t="shared" ca="1" si="9"/>
        <v>0</v>
      </c>
      <c r="J30" s="14">
        <f t="shared" ca="1" si="10"/>
        <v>0</v>
      </c>
      <c r="K30" s="14">
        <f t="shared" ca="1" si="10"/>
        <v>0</v>
      </c>
      <c r="L30" s="9">
        <v>0</v>
      </c>
      <c r="M30" t="str">
        <f ca="1">Quotes&amp;Format!N31&amp;UPPER(INDIRECT(M$1,TRUE))&amp;Quotes</f>
        <v>""</v>
      </c>
      <c r="N30" t="str">
        <f t="shared" ca="1" si="2"/>
        <v>","</v>
      </c>
      <c r="O30" t="s">
        <v>66</v>
      </c>
      <c r="P30" t="str">
        <f t="shared" ca="1" si="14"/>
        <v>""</v>
      </c>
      <c r="Q30" t="str">
        <f t="shared" ca="1" si="14"/>
        <v>""</v>
      </c>
      <c r="R30" t="str">
        <f t="shared" ca="1" si="14"/>
        <v>""</v>
      </c>
      <c r="S30" t="str">
        <f t="shared" ca="1" si="14"/>
        <v>""</v>
      </c>
      <c r="T30" t="s">
        <v>66</v>
      </c>
      <c r="U30" s="11" t="s">
        <v>50</v>
      </c>
      <c r="V30" s="7" t="s">
        <v>67</v>
      </c>
      <c r="W30" s="11" t="s">
        <v>50</v>
      </c>
      <c r="X30" t="str">
        <f t="shared" ca="1" si="4"/>
        <v>"P20"</v>
      </c>
      <c r="Y30" s="9">
        <f t="shared" ca="1" si="11"/>
        <v>0</v>
      </c>
      <c r="Z30" s="9">
        <f t="shared" ca="1" si="11"/>
        <v>0</v>
      </c>
      <c r="AA30" s="6" t="s">
        <v>45</v>
      </c>
      <c r="AB30" s="13" t="s">
        <v>50</v>
      </c>
      <c r="AC30" s="7" t="s">
        <v>68</v>
      </c>
      <c r="AD30" s="13" t="s">
        <v>50</v>
      </c>
      <c r="AE30" s="6">
        <f t="shared" ca="1" si="12"/>
        <v>0</v>
      </c>
      <c r="AF30" t="str">
        <f t="shared" ca="1" si="15"/>
        <v>"1"</v>
      </c>
      <c r="AG30" t="str">
        <f t="shared" ca="1" si="15"/>
        <v>"1001.X710.X"</v>
      </c>
      <c r="AH30" s="14">
        <f t="shared" ca="1" si="13"/>
        <v>42277</v>
      </c>
      <c r="AI30" s="6" t="s">
        <v>45</v>
      </c>
      <c r="AJ30" t="str">
        <f t="shared" ca="1" si="6"/>
        <v>""</v>
      </c>
      <c r="AK30" t="str">
        <f t="shared" ca="1" si="6"/>
        <v>""</v>
      </c>
      <c r="AL30" t="str">
        <f t="shared" ca="1" si="6"/>
        <v>"P20"</v>
      </c>
      <c r="AM30" t="s">
        <v>66</v>
      </c>
      <c r="AN30" t="s">
        <v>66</v>
      </c>
      <c r="AO30" s="7" t="s">
        <v>50</v>
      </c>
      <c r="AP30" s="12" t="s">
        <v>58</v>
      </c>
    </row>
    <row r="31" spans="1:42" x14ac:dyDescent="0.3">
      <c r="A31" s="7" t="s">
        <v>63</v>
      </c>
      <c r="B31" s="7" t="s">
        <v>64</v>
      </c>
      <c r="C31" s="7" t="s">
        <v>50</v>
      </c>
      <c r="D31" t="str">
        <f t="shared" ca="1" si="0"/>
        <v>""</v>
      </c>
      <c r="E31" s="14">
        <f t="shared" ca="1" si="7"/>
        <v>0</v>
      </c>
      <c r="F31" s="6">
        <f t="shared" ca="1" si="8"/>
        <v>0</v>
      </c>
      <c r="G31" t="s">
        <v>65</v>
      </c>
      <c r="H31" t="str">
        <f t="shared" ca="1" si="1"/>
        <v>""</v>
      </c>
      <c r="I31" s="9">
        <f t="shared" ca="1" si="9"/>
        <v>0</v>
      </c>
      <c r="J31" s="14">
        <f t="shared" ca="1" si="10"/>
        <v>0</v>
      </c>
      <c r="K31" s="14">
        <f t="shared" ca="1" si="10"/>
        <v>0</v>
      </c>
      <c r="L31" s="9">
        <v>0</v>
      </c>
      <c r="M31" t="str">
        <f ca="1">Quotes&amp;Format!N32&amp;UPPER(INDIRECT(M$1,TRUE))&amp;Quotes</f>
        <v>""</v>
      </c>
      <c r="N31" t="str">
        <f t="shared" ca="1" si="2"/>
        <v>","</v>
      </c>
      <c r="O31" t="s">
        <v>66</v>
      </c>
      <c r="P31" t="str">
        <f t="shared" ca="1" si="14"/>
        <v>""</v>
      </c>
      <c r="Q31" t="str">
        <f t="shared" ca="1" si="14"/>
        <v>""</v>
      </c>
      <c r="R31" t="str">
        <f t="shared" ca="1" si="14"/>
        <v>""</v>
      </c>
      <c r="S31" t="str">
        <f t="shared" ca="1" si="14"/>
        <v>""</v>
      </c>
      <c r="T31" t="s">
        <v>66</v>
      </c>
      <c r="U31" s="11" t="s">
        <v>50</v>
      </c>
      <c r="V31" s="7" t="s">
        <v>67</v>
      </c>
      <c r="W31" s="11" t="s">
        <v>50</v>
      </c>
      <c r="X31" t="str">
        <f t="shared" ca="1" si="4"/>
        <v>"P20"</v>
      </c>
      <c r="Y31" s="9">
        <f t="shared" ca="1" si="11"/>
        <v>0</v>
      </c>
      <c r="Z31" s="9">
        <f t="shared" ca="1" si="11"/>
        <v>0</v>
      </c>
      <c r="AA31" s="6" t="s">
        <v>45</v>
      </c>
      <c r="AB31" s="13" t="s">
        <v>50</v>
      </c>
      <c r="AC31" s="7" t="s">
        <v>68</v>
      </c>
      <c r="AD31" s="13" t="s">
        <v>50</v>
      </c>
      <c r="AE31" s="6">
        <f t="shared" ca="1" si="12"/>
        <v>0</v>
      </c>
      <c r="AF31" t="str">
        <f t="shared" ca="1" si="15"/>
        <v>"1"</v>
      </c>
      <c r="AG31" t="str">
        <f t="shared" ca="1" si="15"/>
        <v>"1001.X710.X"</v>
      </c>
      <c r="AH31" s="14">
        <f t="shared" ca="1" si="13"/>
        <v>42277</v>
      </c>
      <c r="AI31" s="6" t="s">
        <v>45</v>
      </c>
      <c r="AJ31" t="str">
        <f t="shared" ca="1" si="6"/>
        <v>""</v>
      </c>
      <c r="AK31" t="str">
        <f t="shared" ca="1" si="6"/>
        <v>""</v>
      </c>
      <c r="AL31" t="str">
        <f t="shared" ca="1" si="6"/>
        <v>"P20"</v>
      </c>
      <c r="AM31" t="s">
        <v>66</v>
      </c>
      <c r="AN31" t="s">
        <v>66</v>
      </c>
      <c r="AO31" s="7" t="s">
        <v>50</v>
      </c>
      <c r="AP31" s="12" t="s">
        <v>58</v>
      </c>
    </row>
    <row r="32" spans="1:42" x14ac:dyDescent="0.3">
      <c r="A32" s="7" t="s">
        <v>63</v>
      </c>
      <c r="B32" s="7" t="s">
        <v>64</v>
      </c>
      <c r="C32" s="7" t="s">
        <v>50</v>
      </c>
      <c r="D32" t="str">
        <f t="shared" ca="1" si="0"/>
        <v>""</v>
      </c>
      <c r="E32" s="14">
        <f t="shared" ca="1" si="7"/>
        <v>0</v>
      </c>
      <c r="F32" s="6">
        <f t="shared" ca="1" si="8"/>
        <v>0</v>
      </c>
      <c r="G32" t="s">
        <v>65</v>
      </c>
      <c r="H32" t="str">
        <f t="shared" ca="1" si="1"/>
        <v>""</v>
      </c>
      <c r="I32" s="9">
        <f t="shared" ca="1" si="9"/>
        <v>0</v>
      </c>
      <c r="J32" s="14">
        <f t="shared" ca="1" si="10"/>
        <v>0</v>
      </c>
      <c r="K32" s="14">
        <f t="shared" ca="1" si="10"/>
        <v>0</v>
      </c>
      <c r="L32" s="9">
        <v>0</v>
      </c>
      <c r="M32" t="str">
        <f ca="1">Quotes&amp;Format!N33&amp;UPPER(INDIRECT(M$1,TRUE))&amp;Quotes</f>
        <v>""</v>
      </c>
      <c r="N32" t="str">
        <f t="shared" ca="1" si="2"/>
        <v>","</v>
      </c>
      <c r="O32" t="s">
        <v>66</v>
      </c>
      <c r="P32" t="str">
        <f t="shared" ca="1" si="14"/>
        <v>""</v>
      </c>
      <c r="Q32" t="str">
        <f t="shared" ca="1" si="14"/>
        <v>""</v>
      </c>
      <c r="R32" t="str">
        <f t="shared" ca="1" si="14"/>
        <v>""</v>
      </c>
      <c r="S32" t="str">
        <f t="shared" ca="1" si="14"/>
        <v>""</v>
      </c>
      <c r="T32" t="s">
        <v>66</v>
      </c>
      <c r="U32" s="11" t="s">
        <v>50</v>
      </c>
      <c r="V32" s="7" t="s">
        <v>67</v>
      </c>
      <c r="W32" s="11" t="s">
        <v>50</v>
      </c>
      <c r="X32" t="str">
        <f t="shared" ca="1" si="4"/>
        <v>"P20"</v>
      </c>
      <c r="Y32" s="9">
        <f t="shared" ca="1" si="11"/>
        <v>0</v>
      </c>
      <c r="Z32" s="9">
        <f t="shared" ca="1" si="11"/>
        <v>0</v>
      </c>
      <c r="AA32" s="6" t="s">
        <v>45</v>
      </c>
      <c r="AB32" s="13" t="s">
        <v>50</v>
      </c>
      <c r="AC32" s="7" t="s">
        <v>68</v>
      </c>
      <c r="AD32" s="13" t="s">
        <v>50</v>
      </c>
      <c r="AE32" s="6">
        <f t="shared" ca="1" si="12"/>
        <v>0</v>
      </c>
      <c r="AF32" t="str">
        <f t="shared" ca="1" si="15"/>
        <v>"1"</v>
      </c>
      <c r="AG32" t="str">
        <f t="shared" ca="1" si="15"/>
        <v>"1001.X710.X"</v>
      </c>
      <c r="AH32" s="14">
        <f t="shared" ca="1" si="13"/>
        <v>42277</v>
      </c>
      <c r="AI32" s="6" t="s">
        <v>45</v>
      </c>
      <c r="AJ32" t="str">
        <f t="shared" ca="1" si="6"/>
        <v>""</v>
      </c>
      <c r="AK32" t="str">
        <f t="shared" ca="1" si="6"/>
        <v>""</v>
      </c>
      <c r="AL32" t="str">
        <f t="shared" ca="1" si="6"/>
        <v>"P20"</v>
      </c>
      <c r="AM32" t="s">
        <v>66</v>
      </c>
      <c r="AN32" t="s">
        <v>66</v>
      </c>
      <c r="AO32" s="7" t="s">
        <v>50</v>
      </c>
      <c r="AP32" s="12" t="s">
        <v>58</v>
      </c>
    </row>
    <row r="33" spans="1:42" x14ac:dyDescent="0.3">
      <c r="A33" s="7" t="s">
        <v>63</v>
      </c>
      <c r="B33" s="7" t="s">
        <v>64</v>
      </c>
      <c r="C33" s="7" t="s">
        <v>50</v>
      </c>
      <c r="D33" t="str">
        <f t="shared" ca="1" si="0"/>
        <v>""</v>
      </c>
      <c r="E33" s="14">
        <f t="shared" ca="1" si="7"/>
        <v>0</v>
      </c>
      <c r="F33" s="6">
        <f t="shared" ca="1" si="8"/>
        <v>0</v>
      </c>
      <c r="G33" t="s">
        <v>65</v>
      </c>
      <c r="H33" t="str">
        <f t="shared" ca="1" si="1"/>
        <v>""</v>
      </c>
      <c r="I33" s="9">
        <f t="shared" ca="1" si="9"/>
        <v>0</v>
      </c>
      <c r="J33" s="14">
        <f t="shared" ca="1" si="10"/>
        <v>0</v>
      </c>
      <c r="K33" s="14">
        <f t="shared" ca="1" si="10"/>
        <v>0</v>
      </c>
      <c r="L33" s="9">
        <v>0</v>
      </c>
      <c r="M33" t="str">
        <f ca="1">Quotes&amp;Format!N34&amp;UPPER(INDIRECT(M$1,TRUE))&amp;Quotes</f>
        <v>""</v>
      </c>
      <c r="N33" t="str">
        <f t="shared" ca="1" si="2"/>
        <v>","</v>
      </c>
      <c r="O33" t="s">
        <v>66</v>
      </c>
      <c r="P33" t="str">
        <f t="shared" ca="1" si="14"/>
        <v>""</v>
      </c>
      <c r="Q33" t="str">
        <f t="shared" ca="1" si="14"/>
        <v>""</v>
      </c>
      <c r="R33" t="str">
        <f t="shared" ca="1" si="14"/>
        <v>""</v>
      </c>
      <c r="S33" t="str">
        <f t="shared" ca="1" si="14"/>
        <v>""</v>
      </c>
      <c r="T33" t="s">
        <v>66</v>
      </c>
      <c r="U33" s="11" t="s">
        <v>50</v>
      </c>
      <c r="V33" s="7" t="s">
        <v>67</v>
      </c>
      <c r="W33" s="11" t="s">
        <v>50</v>
      </c>
      <c r="X33" t="str">
        <f t="shared" ca="1" si="4"/>
        <v>"P20"</v>
      </c>
      <c r="Y33" s="9">
        <f t="shared" ca="1" si="11"/>
        <v>0</v>
      </c>
      <c r="Z33" s="9">
        <f t="shared" ca="1" si="11"/>
        <v>0</v>
      </c>
      <c r="AA33" s="6" t="s">
        <v>45</v>
      </c>
      <c r="AB33" s="13" t="s">
        <v>50</v>
      </c>
      <c r="AC33" s="7" t="s">
        <v>68</v>
      </c>
      <c r="AD33" s="13" t="s">
        <v>50</v>
      </c>
      <c r="AE33" s="6">
        <f t="shared" ca="1" si="12"/>
        <v>0</v>
      </c>
      <c r="AF33" t="str">
        <f t="shared" ca="1" si="15"/>
        <v>"1"</v>
      </c>
      <c r="AG33" t="str">
        <f t="shared" ca="1" si="15"/>
        <v>"1001.X710.X"</v>
      </c>
      <c r="AH33" s="14">
        <f t="shared" ca="1" si="13"/>
        <v>42277</v>
      </c>
      <c r="AI33" s="6" t="s">
        <v>45</v>
      </c>
      <c r="AJ33" t="str">
        <f t="shared" ca="1" si="6"/>
        <v>""</v>
      </c>
      <c r="AK33" t="str">
        <f t="shared" ca="1" si="6"/>
        <v>""</v>
      </c>
      <c r="AL33" t="str">
        <f t="shared" ca="1" si="6"/>
        <v>"P20"</v>
      </c>
      <c r="AM33" t="s">
        <v>66</v>
      </c>
      <c r="AN33" t="s">
        <v>66</v>
      </c>
      <c r="AO33" s="7" t="s">
        <v>50</v>
      </c>
      <c r="AP33" s="12" t="s">
        <v>58</v>
      </c>
    </row>
    <row r="34" spans="1:42" x14ac:dyDescent="0.3">
      <c r="A34" s="7" t="s">
        <v>63</v>
      </c>
      <c r="B34" s="7" t="s">
        <v>64</v>
      </c>
      <c r="C34" s="7" t="s">
        <v>50</v>
      </c>
      <c r="D34" t="str">
        <f t="shared" ca="1" si="0"/>
        <v>""</v>
      </c>
      <c r="E34" s="14">
        <f t="shared" ca="1" si="7"/>
        <v>0</v>
      </c>
      <c r="F34" s="6">
        <f t="shared" ca="1" si="8"/>
        <v>0</v>
      </c>
      <c r="G34" t="s">
        <v>65</v>
      </c>
      <c r="H34" t="str">
        <f t="shared" ca="1" si="1"/>
        <v>""</v>
      </c>
      <c r="I34" s="9">
        <f t="shared" ca="1" si="9"/>
        <v>0</v>
      </c>
      <c r="J34" s="14">
        <f t="shared" ca="1" si="10"/>
        <v>0</v>
      </c>
      <c r="K34" s="14">
        <f t="shared" ca="1" si="10"/>
        <v>0</v>
      </c>
      <c r="L34" s="9">
        <v>0</v>
      </c>
      <c r="M34" t="str">
        <f ca="1">Quotes&amp;Format!N35&amp;UPPER(INDIRECT(M$1,TRUE))&amp;Quotes</f>
        <v>""</v>
      </c>
      <c r="N34" t="str">
        <f t="shared" ca="1" si="2"/>
        <v>","</v>
      </c>
      <c r="O34" t="s">
        <v>66</v>
      </c>
      <c r="P34" t="str">
        <f t="shared" ca="1" si="14"/>
        <v>""</v>
      </c>
      <c r="Q34" t="str">
        <f t="shared" ca="1" si="14"/>
        <v>""</v>
      </c>
      <c r="R34" t="str">
        <f t="shared" ca="1" si="14"/>
        <v>""</v>
      </c>
      <c r="S34" t="str">
        <f t="shared" ca="1" si="14"/>
        <v>""</v>
      </c>
      <c r="T34" t="s">
        <v>66</v>
      </c>
      <c r="U34" s="11" t="s">
        <v>50</v>
      </c>
      <c r="V34" s="7" t="s">
        <v>67</v>
      </c>
      <c r="W34" s="11" t="s">
        <v>50</v>
      </c>
      <c r="X34" t="str">
        <f t="shared" ca="1" si="4"/>
        <v>"P20"</v>
      </c>
      <c r="Y34" s="9">
        <f t="shared" ca="1" si="11"/>
        <v>0</v>
      </c>
      <c r="Z34" s="9">
        <f t="shared" ca="1" si="11"/>
        <v>0</v>
      </c>
      <c r="AA34" s="6" t="s">
        <v>45</v>
      </c>
      <c r="AB34" s="13" t="s">
        <v>50</v>
      </c>
      <c r="AC34" s="7" t="s">
        <v>68</v>
      </c>
      <c r="AD34" s="13" t="s">
        <v>50</v>
      </c>
      <c r="AE34" s="6">
        <f t="shared" ca="1" si="12"/>
        <v>0</v>
      </c>
      <c r="AF34" t="str">
        <f t="shared" ca="1" si="15"/>
        <v>"1"</v>
      </c>
      <c r="AG34" t="str">
        <f t="shared" ca="1" si="15"/>
        <v>"1001.X710.X"</v>
      </c>
      <c r="AH34" s="14">
        <f t="shared" ca="1" si="13"/>
        <v>42277</v>
      </c>
      <c r="AI34" s="6" t="s">
        <v>45</v>
      </c>
      <c r="AJ34" t="str">
        <f t="shared" ca="1" si="6"/>
        <v>""</v>
      </c>
      <c r="AK34" t="str">
        <f t="shared" ca="1" si="6"/>
        <v>""</v>
      </c>
      <c r="AL34" t="str">
        <f t="shared" ca="1" si="6"/>
        <v>"P20"</v>
      </c>
      <c r="AM34" t="s">
        <v>66</v>
      </c>
      <c r="AN34" t="s">
        <v>66</v>
      </c>
      <c r="AO34" s="7" t="s">
        <v>50</v>
      </c>
      <c r="AP34" s="12" t="s">
        <v>58</v>
      </c>
    </row>
    <row r="35" spans="1:42" x14ac:dyDescent="0.3">
      <c r="A35" s="7" t="s">
        <v>63</v>
      </c>
      <c r="B35" s="7" t="s">
        <v>64</v>
      </c>
      <c r="C35" s="7" t="s">
        <v>50</v>
      </c>
      <c r="D35" t="str">
        <f t="shared" ca="1" si="0"/>
        <v>""</v>
      </c>
      <c r="E35" s="14">
        <f t="shared" ca="1" si="7"/>
        <v>0</v>
      </c>
      <c r="F35" s="6">
        <f t="shared" ca="1" si="8"/>
        <v>0</v>
      </c>
      <c r="G35" t="s">
        <v>65</v>
      </c>
      <c r="H35" t="str">
        <f t="shared" ca="1" si="1"/>
        <v>""</v>
      </c>
      <c r="I35" s="9">
        <f t="shared" ca="1" si="9"/>
        <v>0</v>
      </c>
      <c r="J35" s="14">
        <f t="shared" ca="1" si="10"/>
        <v>0</v>
      </c>
      <c r="K35" s="14">
        <f t="shared" ca="1" si="10"/>
        <v>0</v>
      </c>
      <c r="L35" s="9">
        <v>0</v>
      </c>
      <c r="M35" t="str">
        <f ca="1">Quotes&amp;Format!N39&amp;UPPER(INDIRECT(M$1,TRUE))&amp;Quotes</f>
        <v>""</v>
      </c>
      <c r="N35" t="str">
        <f t="shared" ca="1" si="2"/>
        <v>","</v>
      </c>
      <c r="O35" t="s">
        <v>66</v>
      </c>
      <c r="P35" t="str">
        <f t="shared" ca="1" si="14"/>
        <v>""</v>
      </c>
      <c r="Q35" t="str">
        <f t="shared" ca="1" si="14"/>
        <v>""</v>
      </c>
      <c r="R35" t="str">
        <f t="shared" ca="1" si="14"/>
        <v>""</v>
      </c>
      <c r="S35" t="str">
        <f t="shared" ca="1" si="14"/>
        <v>""</v>
      </c>
      <c r="T35" t="s">
        <v>66</v>
      </c>
      <c r="U35" s="11" t="s">
        <v>50</v>
      </c>
      <c r="V35" s="7" t="s">
        <v>67</v>
      </c>
      <c r="W35" s="11" t="s">
        <v>50</v>
      </c>
      <c r="X35" t="str">
        <f t="shared" ca="1" si="4"/>
        <v>"P20"</v>
      </c>
      <c r="Y35" s="9">
        <f t="shared" ca="1" si="11"/>
        <v>0</v>
      </c>
      <c r="Z35" s="9">
        <f t="shared" ca="1" si="11"/>
        <v>0</v>
      </c>
      <c r="AA35" s="6" t="s">
        <v>45</v>
      </c>
      <c r="AB35" s="13" t="s">
        <v>50</v>
      </c>
      <c r="AC35" s="7" t="s">
        <v>68</v>
      </c>
      <c r="AD35" s="13" t="s">
        <v>50</v>
      </c>
      <c r="AE35" s="6">
        <f t="shared" ca="1" si="12"/>
        <v>0</v>
      </c>
      <c r="AF35" t="str">
        <f t="shared" ca="1" si="15"/>
        <v>"1"</v>
      </c>
      <c r="AG35" t="str">
        <f t="shared" ca="1" si="15"/>
        <v>"1001.X710.X"</v>
      </c>
      <c r="AH35" s="14">
        <f t="shared" ca="1" si="13"/>
        <v>42277</v>
      </c>
      <c r="AI35" s="6" t="s">
        <v>45</v>
      </c>
      <c r="AJ35" t="str">
        <f t="shared" ca="1" si="6"/>
        <v>""</v>
      </c>
      <c r="AK35" t="str">
        <f t="shared" ca="1" si="6"/>
        <v>""</v>
      </c>
      <c r="AL35" t="str">
        <f t="shared" ca="1" si="6"/>
        <v>"P20"</v>
      </c>
      <c r="AM35" t="s">
        <v>66</v>
      </c>
      <c r="AN35" t="s">
        <v>66</v>
      </c>
      <c r="AO35" s="7" t="s">
        <v>50</v>
      </c>
      <c r="AP35" s="12" t="s">
        <v>58</v>
      </c>
    </row>
    <row r="36" spans="1:42" x14ac:dyDescent="0.3">
      <c r="A36" s="7" t="s">
        <v>63</v>
      </c>
      <c r="B36" s="7" t="s">
        <v>64</v>
      </c>
      <c r="C36" s="7" t="s">
        <v>50</v>
      </c>
      <c r="D36" t="str">
        <f t="shared" ca="1" si="0"/>
        <v>""</v>
      </c>
      <c r="E36" s="14">
        <f t="shared" ca="1" si="7"/>
        <v>0</v>
      </c>
      <c r="F36" s="6">
        <f t="shared" ca="1" si="8"/>
        <v>0</v>
      </c>
      <c r="G36" t="s">
        <v>65</v>
      </c>
      <c r="H36" t="str">
        <f t="shared" ca="1" si="1"/>
        <v>""</v>
      </c>
      <c r="I36" s="9">
        <f t="shared" ca="1" si="9"/>
        <v>0</v>
      </c>
      <c r="J36" s="14">
        <f t="shared" ca="1" si="10"/>
        <v>0</v>
      </c>
      <c r="K36" s="14">
        <f t="shared" ca="1" si="10"/>
        <v>0</v>
      </c>
      <c r="L36" s="9">
        <v>0</v>
      </c>
      <c r="M36" t="str">
        <f ca="1">Quotes&amp;Format!N40&amp;UPPER(INDIRECT(M$1,TRUE))&amp;Quotes</f>
        <v>""</v>
      </c>
      <c r="N36" t="str">
        <f t="shared" ca="1" si="2"/>
        <v>","</v>
      </c>
      <c r="O36" t="s">
        <v>66</v>
      </c>
      <c r="P36" t="str">
        <f t="shared" ca="1" si="14"/>
        <v>""</v>
      </c>
      <c r="Q36" t="str">
        <f t="shared" ca="1" si="14"/>
        <v>""</v>
      </c>
      <c r="R36" t="str">
        <f t="shared" ca="1" si="14"/>
        <v>""</v>
      </c>
      <c r="S36" t="str">
        <f t="shared" ca="1" si="14"/>
        <v>""</v>
      </c>
      <c r="T36" t="s">
        <v>66</v>
      </c>
      <c r="U36" s="11" t="s">
        <v>50</v>
      </c>
      <c r="V36" s="7" t="s">
        <v>67</v>
      </c>
      <c r="W36" s="11" t="s">
        <v>50</v>
      </c>
      <c r="X36" t="str">
        <f t="shared" ca="1" si="4"/>
        <v>"P20"</v>
      </c>
      <c r="Y36" s="9">
        <f t="shared" ca="1" si="11"/>
        <v>0</v>
      </c>
      <c r="Z36" s="9">
        <f t="shared" ca="1" si="11"/>
        <v>0</v>
      </c>
      <c r="AA36" s="6" t="s">
        <v>45</v>
      </c>
      <c r="AB36" s="13" t="s">
        <v>50</v>
      </c>
      <c r="AC36" s="7" t="s">
        <v>68</v>
      </c>
      <c r="AD36" s="13" t="s">
        <v>50</v>
      </c>
      <c r="AE36" s="6">
        <f t="shared" ca="1" si="12"/>
        <v>0</v>
      </c>
      <c r="AF36" t="str">
        <f t="shared" ca="1" si="15"/>
        <v>"1"</v>
      </c>
      <c r="AG36" t="str">
        <f t="shared" ca="1" si="15"/>
        <v>"1001.X710.X"</v>
      </c>
      <c r="AH36" s="14">
        <f t="shared" ca="1" si="13"/>
        <v>42277</v>
      </c>
      <c r="AI36" s="6" t="s">
        <v>45</v>
      </c>
      <c r="AJ36" t="str">
        <f t="shared" ca="1" si="6"/>
        <v>""</v>
      </c>
      <c r="AK36" t="str">
        <f t="shared" ca="1" si="6"/>
        <v>""</v>
      </c>
      <c r="AL36" t="str">
        <f t="shared" ca="1" si="6"/>
        <v>"P20"</v>
      </c>
      <c r="AM36" t="s">
        <v>66</v>
      </c>
      <c r="AN36" t="s">
        <v>66</v>
      </c>
      <c r="AO36" s="7" t="s">
        <v>50</v>
      </c>
      <c r="AP36" s="12" t="s">
        <v>58</v>
      </c>
    </row>
    <row r="37" spans="1:42" x14ac:dyDescent="0.3">
      <c r="A37" s="7" t="s">
        <v>63</v>
      </c>
      <c r="B37" s="7" t="s">
        <v>64</v>
      </c>
      <c r="C37" s="7" t="s">
        <v>50</v>
      </c>
      <c r="D37" t="str">
        <f t="shared" ca="1" si="0"/>
        <v>""</v>
      </c>
      <c r="E37" s="14">
        <f t="shared" ca="1" si="7"/>
        <v>0</v>
      </c>
      <c r="F37" s="6">
        <f t="shared" ca="1" si="8"/>
        <v>0</v>
      </c>
      <c r="G37" t="s">
        <v>65</v>
      </c>
      <c r="H37" t="str">
        <f t="shared" ca="1" si="1"/>
        <v>""</v>
      </c>
      <c r="I37" s="9">
        <f t="shared" ca="1" si="9"/>
        <v>0</v>
      </c>
      <c r="J37" s="14">
        <f t="shared" ca="1" si="10"/>
        <v>0</v>
      </c>
      <c r="K37" s="14">
        <f t="shared" ca="1" si="10"/>
        <v>0</v>
      </c>
      <c r="L37" s="9">
        <v>0</v>
      </c>
      <c r="M37" t="str">
        <f ca="1">Quotes&amp;Format!N41&amp;UPPER(INDIRECT(M$1,TRUE))&amp;Quotes</f>
        <v>""</v>
      </c>
      <c r="N37" t="str">
        <f t="shared" ca="1" si="2"/>
        <v>","</v>
      </c>
      <c r="O37" t="s">
        <v>66</v>
      </c>
      <c r="P37" t="str">
        <f t="shared" ca="1" si="14"/>
        <v>""</v>
      </c>
      <c r="Q37" t="str">
        <f t="shared" ca="1" si="14"/>
        <v>""</v>
      </c>
      <c r="R37" t="str">
        <f t="shared" ca="1" si="14"/>
        <v>""</v>
      </c>
      <c r="S37" t="str">
        <f t="shared" ca="1" si="14"/>
        <v>""</v>
      </c>
      <c r="T37" t="s">
        <v>66</v>
      </c>
      <c r="U37" s="11" t="s">
        <v>50</v>
      </c>
      <c r="V37" s="7" t="s">
        <v>67</v>
      </c>
      <c r="W37" s="11" t="s">
        <v>50</v>
      </c>
      <c r="X37" t="str">
        <f t="shared" ca="1" si="4"/>
        <v>"P20"</v>
      </c>
      <c r="Y37" s="9">
        <f t="shared" ca="1" si="11"/>
        <v>0</v>
      </c>
      <c r="Z37" s="9">
        <f t="shared" ca="1" si="11"/>
        <v>0</v>
      </c>
      <c r="AA37" s="6" t="s">
        <v>45</v>
      </c>
      <c r="AB37" s="13" t="s">
        <v>50</v>
      </c>
      <c r="AC37" s="7" t="s">
        <v>68</v>
      </c>
      <c r="AD37" s="13" t="s">
        <v>50</v>
      </c>
      <c r="AE37" s="6">
        <f t="shared" ca="1" si="12"/>
        <v>0</v>
      </c>
      <c r="AF37" t="str">
        <f t="shared" ca="1" si="15"/>
        <v>"1"</v>
      </c>
      <c r="AG37" t="str">
        <f t="shared" ca="1" si="15"/>
        <v>"1001.X710.X"</v>
      </c>
      <c r="AH37" s="14">
        <f t="shared" ca="1" si="13"/>
        <v>42277</v>
      </c>
      <c r="AI37" s="6" t="s">
        <v>45</v>
      </c>
      <c r="AJ37" t="str">
        <f t="shared" ca="1" si="6"/>
        <v>""</v>
      </c>
      <c r="AK37" t="str">
        <f t="shared" ca="1" si="6"/>
        <v>""</v>
      </c>
      <c r="AL37" t="str">
        <f t="shared" ca="1" si="6"/>
        <v>"P20"</v>
      </c>
      <c r="AM37" t="s">
        <v>66</v>
      </c>
      <c r="AN37" t="s">
        <v>66</v>
      </c>
      <c r="AO37" s="7" t="s">
        <v>50</v>
      </c>
      <c r="AP37" s="12" t="s">
        <v>58</v>
      </c>
    </row>
    <row r="38" spans="1:42" x14ac:dyDescent="0.3">
      <c r="A38" s="7" t="s">
        <v>63</v>
      </c>
      <c r="B38" s="7" t="s">
        <v>64</v>
      </c>
      <c r="C38" s="7" t="s">
        <v>50</v>
      </c>
      <c r="D38" t="str">
        <f t="shared" ca="1" si="0"/>
        <v>""</v>
      </c>
      <c r="E38" s="14">
        <f t="shared" ca="1" si="7"/>
        <v>0</v>
      </c>
      <c r="F38" s="6">
        <f t="shared" ca="1" si="8"/>
        <v>0</v>
      </c>
      <c r="G38" t="s">
        <v>65</v>
      </c>
      <c r="H38" t="str">
        <f t="shared" ca="1" si="1"/>
        <v>""</v>
      </c>
      <c r="I38" s="9">
        <f t="shared" ca="1" si="9"/>
        <v>0</v>
      </c>
      <c r="J38" s="14">
        <f t="shared" ca="1" si="10"/>
        <v>0</v>
      </c>
      <c r="K38" s="14">
        <f t="shared" ca="1" si="10"/>
        <v>0</v>
      </c>
      <c r="L38" s="9">
        <v>0</v>
      </c>
      <c r="M38" t="str">
        <f ca="1">Quotes&amp;Format!N42&amp;UPPER(INDIRECT(M$1,TRUE))&amp;Quotes</f>
        <v>""</v>
      </c>
      <c r="N38" t="str">
        <f t="shared" ca="1" si="2"/>
        <v>","</v>
      </c>
      <c r="O38" t="s">
        <v>66</v>
      </c>
      <c r="P38" t="str">
        <f t="shared" ca="1" si="14"/>
        <v>""</v>
      </c>
      <c r="Q38" t="str">
        <f t="shared" ca="1" si="14"/>
        <v>""</v>
      </c>
      <c r="R38" t="str">
        <f t="shared" ca="1" si="14"/>
        <v>""</v>
      </c>
      <c r="S38" t="str">
        <f t="shared" ca="1" si="14"/>
        <v>""</v>
      </c>
      <c r="T38" t="s">
        <v>66</v>
      </c>
      <c r="U38" s="11" t="s">
        <v>50</v>
      </c>
      <c r="V38" s="7" t="s">
        <v>67</v>
      </c>
      <c r="W38" s="11" t="s">
        <v>50</v>
      </c>
      <c r="X38" t="str">
        <f t="shared" ca="1" si="4"/>
        <v>"P20"</v>
      </c>
      <c r="Y38" s="9">
        <f t="shared" ca="1" si="11"/>
        <v>0</v>
      </c>
      <c r="Z38" s="9">
        <f t="shared" ca="1" si="11"/>
        <v>0</v>
      </c>
      <c r="AA38" s="6" t="s">
        <v>45</v>
      </c>
      <c r="AB38" s="13" t="s">
        <v>50</v>
      </c>
      <c r="AC38" s="7" t="s">
        <v>68</v>
      </c>
      <c r="AD38" s="13" t="s">
        <v>50</v>
      </c>
      <c r="AE38" s="6">
        <f t="shared" ca="1" si="12"/>
        <v>0</v>
      </c>
      <c r="AF38" t="str">
        <f t="shared" ca="1" si="15"/>
        <v>"1"</v>
      </c>
      <c r="AG38" t="str">
        <f t="shared" ca="1" si="15"/>
        <v>"1001.X710.X"</v>
      </c>
      <c r="AH38" s="14">
        <f t="shared" ca="1" si="13"/>
        <v>42277</v>
      </c>
      <c r="AI38" s="6" t="s">
        <v>45</v>
      </c>
      <c r="AJ38" t="str">
        <f t="shared" ca="1" si="6"/>
        <v>""</v>
      </c>
      <c r="AK38" t="str">
        <f t="shared" ca="1" si="6"/>
        <v>""</v>
      </c>
      <c r="AL38" t="str">
        <f t="shared" ca="1" si="6"/>
        <v>"P20"</v>
      </c>
      <c r="AM38" t="s">
        <v>66</v>
      </c>
      <c r="AN38" t="s">
        <v>66</v>
      </c>
      <c r="AO38" s="7" t="s">
        <v>50</v>
      </c>
      <c r="AP38" s="12" t="s">
        <v>58</v>
      </c>
    </row>
    <row r="39" spans="1:42" x14ac:dyDescent="0.3">
      <c r="A39" s="7" t="s">
        <v>63</v>
      </c>
      <c r="B39" s="7" t="s">
        <v>64</v>
      </c>
      <c r="C39" s="7" t="s">
        <v>50</v>
      </c>
      <c r="D39" t="str">
        <f t="shared" ca="1" si="0"/>
        <v>""</v>
      </c>
      <c r="E39" s="14">
        <f t="shared" ca="1" si="7"/>
        <v>0</v>
      </c>
      <c r="F39" s="6">
        <f t="shared" ca="1" si="8"/>
        <v>0</v>
      </c>
      <c r="G39" t="s">
        <v>65</v>
      </c>
      <c r="H39" t="str">
        <f t="shared" ca="1" si="1"/>
        <v>""</v>
      </c>
      <c r="I39" s="9">
        <f t="shared" ca="1" si="9"/>
        <v>0</v>
      </c>
      <c r="J39" s="14">
        <f t="shared" ca="1" si="10"/>
        <v>0</v>
      </c>
      <c r="K39" s="14">
        <f t="shared" ca="1" si="10"/>
        <v>0</v>
      </c>
      <c r="L39" s="9">
        <v>0</v>
      </c>
      <c r="M39" t="str">
        <f ca="1">Quotes&amp;Format!N43&amp;UPPER(INDIRECT(M$1,TRUE))&amp;Quotes</f>
        <v>""</v>
      </c>
      <c r="N39" t="str">
        <f t="shared" ca="1" si="2"/>
        <v>","</v>
      </c>
      <c r="O39" t="s">
        <v>66</v>
      </c>
      <c r="P39" t="str">
        <f t="shared" ca="1" si="14"/>
        <v>""</v>
      </c>
      <c r="Q39" t="str">
        <f t="shared" ca="1" si="14"/>
        <v>""</v>
      </c>
      <c r="R39" t="str">
        <f t="shared" ca="1" si="14"/>
        <v>""</v>
      </c>
      <c r="S39" t="str">
        <f t="shared" ca="1" si="14"/>
        <v>""</v>
      </c>
      <c r="T39" t="s">
        <v>66</v>
      </c>
      <c r="U39" s="11" t="s">
        <v>50</v>
      </c>
      <c r="V39" s="7" t="s">
        <v>67</v>
      </c>
      <c r="W39" s="11" t="s">
        <v>50</v>
      </c>
      <c r="X39" t="str">
        <f t="shared" ca="1" si="4"/>
        <v>"P20"</v>
      </c>
      <c r="Y39" s="9">
        <f t="shared" ca="1" si="11"/>
        <v>0</v>
      </c>
      <c r="Z39" s="9">
        <f t="shared" ca="1" si="11"/>
        <v>0</v>
      </c>
      <c r="AA39" s="6" t="s">
        <v>45</v>
      </c>
      <c r="AB39" s="13" t="s">
        <v>50</v>
      </c>
      <c r="AC39" s="7" t="s">
        <v>68</v>
      </c>
      <c r="AD39" s="13" t="s">
        <v>50</v>
      </c>
      <c r="AE39" s="6">
        <f t="shared" ca="1" si="12"/>
        <v>0</v>
      </c>
      <c r="AF39" t="str">
        <f t="shared" ca="1" si="15"/>
        <v>"1"</v>
      </c>
      <c r="AG39" t="str">
        <f t="shared" ca="1" si="15"/>
        <v>"1001.X710.X"</v>
      </c>
      <c r="AH39" s="14">
        <f t="shared" ca="1" si="13"/>
        <v>42277</v>
      </c>
      <c r="AI39" s="6" t="s">
        <v>45</v>
      </c>
      <c r="AJ39" t="str">
        <f t="shared" ca="1" si="6"/>
        <v>""</v>
      </c>
      <c r="AK39" t="str">
        <f t="shared" ca="1" si="6"/>
        <v>""</v>
      </c>
      <c r="AL39" t="str">
        <f t="shared" ca="1" si="6"/>
        <v>"P20"</v>
      </c>
      <c r="AM39" t="s">
        <v>66</v>
      </c>
      <c r="AN39" t="s">
        <v>66</v>
      </c>
      <c r="AO39" s="7" t="s">
        <v>50</v>
      </c>
      <c r="AP39" s="12" t="s">
        <v>58</v>
      </c>
    </row>
    <row r="40" spans="1:42" x14ac:dyDescent="0.3">
      <c r="A40" s="7" t="s">
        <v>63</v>
      </c>
      <c r="B40" s="7" t="s">
        <v>64</v>
      </c>
      <c r="C40" s="7" t="s">
        <v>50</v>
      </c>
      <c r="D40" t="str">
        <f t="shared" ca="1" si="0"/>
        <v>""</v>
      </c>
      <c r="E40" s="14">
        <f t="shared" ca="1" si="7"/>
        <v>0</v>
      </c>
      <c r="F40" s="6">
        <f t="shared" ca="1" si="8"/>
        <v>0</v>
      </c>
      <c r="G40" t="s">
        <v>65</v>
      </c>
      <c r="H40" t="str">
        <f t="shared" ca="1" si="1"/>
        <v>""</v>
      </c>
      <c r="I40" s="9">
        <f t="shared" ca="1" si="9"/>
        <v>0</v>
      </c>
      <c r="J40" s="14">
        <f t="shared" ca="1" si="10"/>
        <v>0</v>
      </c>
      <c r="K40" s="14">
        <f t="shared" ca="1" si="10"/>
        <v>0</v>
      </c>
      <c r="L40" s="9">
        <v>0</v>
      </c>
      <c r="M40" t="str">
        <f ca="1">Quotes&amp;Format!N44&amp;UPPER(INDIRECT(M$1,TRUE))&amp;Quotes</f>
        <v>""</v>
      </c>
      <c r="N40" t="str">
        <f t="shared" ca="1" si="2"/>
        <v>","</v>
      </c>
      <c r="O40" t="s">
        <v>66</v>
      </c>
      <c r="P40" t="str">
        <f t="shared" ca="1" si="14"/>
        <v>""</v>
      </c>
      <c r="Q40" t="str">
        <f t="shared" ca="1" si="14"/>
        <v>""</v>
      </c>
      <c r="R40" t="str">
        <f t="shared" ca="1" si="14"/>
        <v>""</v>
      </c>
      <c r="S40" t="str">
        <f t="shared" ca="1" si="14"/>
        <v>""</v>
      </c>
      <c r="T40" t="s">
        <v>66</v>
      </c>
      <c r="U40" s="11" t="s">
        <v>50</v>
      </c>
      <c r="V40" s="7" t="s">
        <v>67</v>
      </c>
      <c r="W40" s="11" t="s">
        <v>50</v>
      </c>
      <c r="X40" t="str">
        <f t="shared" ca="1" si="4"/>
        <v>"P20"</v>
      </c>
      <c r="Y40" s="9">
        <f t="shared" ca="1" si="11"/>
        <v>0</v>
      </c>
      <c r="Z40" s="9">
        <f t="shared" ca="1" si="11"/>
        <v>0</v>
      </c>
      <c r="AA40" s="6" t="s">
        <v>45</v>
      </c>
      <c r="AB40" s="13" t="s">
        <v>50</v>
      </c>
      <c r="AC40" s="7" t="s">
        <v>68</v>
      </c>
      <c r="AD40" s="13" t="s">
        <v>50</v>
      </c>
      <c r="AE40" s="6">
        <f t="shared" ca="1" si="12"/>
        <v>0</v>
      </c>
      <c r="AF40" t="str">
        <f t="shared" ca="1" si="15"/>
        <v>"1"</v>
      </c>
      <c r="AG40" t="str">
        <f t="shared" ca="1" si="15"/>
        <v>"1001.X710.X"</v>
      </c>
      <c r="AH40" s="14">
        <f t="shared" ca="1" si="13"/>
        <v>42277</v>
      </c>
      <c r="AI40" s="6" t="s">
        <v>45</v>
      </c>
      <c r="AJ40" t="str">
        <f t="shared" ca="1" si="6"/>
        <v>""</v>
      </c>
      <c r="AK40" t="str">
        <f t="shared" ca="1" si="6"/>
        <v>""</v>
      </c>
      <c r="AL40" t="str">
        <f t="shared" ca="1" si="6"/>
        <v>"P20"</v>
      </c>
      <c r="AM40" t="s">
        <v>66</v>
      </c>
      <c r="AN40" t="s">
        <v>66</v>
      </c>
      <c r="AO40" s="7" t="s">
        <v>50</v>
      </c>
      <c r="AP40" s="12" t="s">
        <v>58</v>
      </c>
    </row>
    <row r="41" spans="1:42" x14ac:dyDescent="0.3">
      <c r="A41" s="7" t="s">
        <v>63</v>
      </c>
      <c r="B41" s="7" t="s">
        <v>64</v>
      </c>
      <c r="C41" s="7" t="s">
        <v>50</v>
      </c>
      <c r="D41" t="str">
        <f t="shared" ca="1" si="0"/>
        <v>""</v>
      </c>
      <c r="E41" s="14">
        <f t="shared" ca="1" si="7"/>
        <v>0</v>
      </c>
      <c r="F41" s="6">
        <f t="shared" ca="1" si="8"/>
        <v>0</v>
      </c>
      <c r="G41" t="s">
        <v>65</v>
      </c>
      <c r="H41" t="str">
        <f t="shared" ca="1" si="1"/>
        <v>""</v>
      </c>
      <c r="I41" s="9">
        <f t="shared" ca="1" si="9"/>
        <v>0</v>
      </c>
      <c r="J41" s="14">
        <f t="shared" ca="1" si="10"/>
        <v>0</v>
      </c>
      <c r="K41" s="14">
        <f t="shared" ca="1" si="10"/>
        <v>0</v>
      </c>
      <c r="L41" s="9">
        <v>0</v>
      </c>
      <c r="M41" t="str">
        <f ca="1">Quotes&amp;Format!N45&amp;UPPER(INDIRECT(M$1,TRUE))&amp;Quotes</f>
        <v>""</v>
      </c>
      <c r="N41" t="str">
        <f t="shared" ca="1" si="2"/>
        <v>","</v>
      </c>
      <c r="O41" t="s">
        <v>66</v>
      </c>
      <c r="P41" t="str">
        <f t="shared" ca="1" si="14"/>
        <v>""</v>
      </c>
      <c r="Q41" t="str">
        <f t="shared" ca="1" si="14"/>
        <v>""</v>
      </c>
      <c r="R41" t="str">
        <f t="shared" ca="1" si="14"/>
        <v>""</v>
      </c>
      <c r="S41" t="str">
        <f t="shared" ca="1" si="14"/>
        <v>""</v>
      </c>
      <c r="T41" t="s">
        <v>66</v>
      </c>
      <c r="U41" s="11" t="s">
        <v>50</v>
      </c>
      <c r="V41" s="7" t="s">
        <v>67</v>
      </c>
      <c r="W41" s="11" t="s">
        <v>50</v>
      </c>
      <c r="X41" t="str">
        <f t="shared" ca="1" si="4"/>
        <v>"P20"</v>
      </c>
      <c r="Y41" s="9">
        <f t="shared" ca="1" si="11"/>
        <v>0</v>
      </c>
      <c r="Z41" s="9">
        <f t="shared" ca="1" si="11"/>
        <v>0</v>
      </c>
      <c r="AA41" s="6" t="s">
        <v>45</v>
      </c>
      <c r="AB41" s="13" t="s">
        <v>50</v>
      </c>
      <c r="AC41" s="7" t="s">
        <v>68</v>
      </c>
      <c r="AD41" s="13" t="s">
        <v>50</v>
      </c>
      <c r="AE41" s="6">
        <f t="shared" ca="1" si="12"/>
        <v>0</v>
      </c>
      <c r="AF41" t="str">
        <f t="shared" ca="1" si="15"/>
        <v>"1"</v>
      </c>
      <c r="AG41" t="str">
        <f t="shared" ca="1" si="15"/>
        <v>"1001.X710.X"</v>
      </c>
      <c r="AH41" s="14">
        <f t="shared" ca="1" si="13"/>
        <v>42277</v>
      </c>
      <c r="AI41" s="6" t="s">
        <v>45</v>
      </c>
      <c r="AJ41" t="str">
        <f t="shared" ca="1" si="6"/>
        <v>""</v>
      </c>
      <c r="AK41" t="str">
        <f t="shared" ca="1" si="6"/>
        <v>""</v>
      </c>
      <c r="AL41" t="str">
        <f t="shared" ca="1" si="6"/>
        <v>"P20"</v>
      </c>
      <c r="AM41" t="s">
        <v>66</v>
      </c>
      <c r="AN41" t="s">
        <v>66</v>
      </c>
      <c r="AO41" s="7" t="s">
        <v>50</v>
      </c>
      <c r="AP41" s="12" t="s">
        <v>58</v>
      </c>
    </row>
    <row r="42" spans="1:42" x14ac:dyDescent="0.3">
      <c r="A42" s="7" t="s">
        <v>63</v>
      </c>
      <c r="B42" s="7" t="s">
        <v>64</v>
      </c>
      <c r="C42" s="7" t="s">
        <v>50</v>
      </c>
      <c r="D42" t="str">
        <f t="shared" ca="1" si="0"/>
        <v>""</v>
      </c>
      <c r="E42" s="14">
        <f t="shared" ca="1" si="7"/>
        <v>0</v>
      </c>
      <c r="F42" s="6">
        <f t="shared" ca="1" si="8"/>
        <v>0</v>
      </c>
      <c r="G42" t="s">
        <v>65</v>
      </c>
      <c r="H42" t="str">
        <f t="shared" ca="1" si="1"/>
        <v>""</v>
      </c>
      <c r="I42" s="9">
        <f t="shared" ca="1" si="9"/>
        <v>0</v>
      </c>
      <c r="J42" s="14">
        <f t="shared" ca="1" si="10"/>
        <v>0</v>
      </c>
      <c r="K42" s="14">
        <f t="shared" ca="1" si="10"/>
        <v>0</v>
      </c>
      <c r="L42" s="9">
        <v>0</v>
      </c>
      <c r="M42" t="str">
        <f ca="1">Quotes&amp;Format!N46&amp;UPPER(INDIRECT(M$1,TRUE))&amp;Quotes</f>
        <v>""</v>
      </c>
      <c r="N42" t="str">
        <f t="shared" ca="1" si="2"/>
        <v>","</v>
      </c>
      <c r="O42" t="s">
        <v>66</v>
      </c>
      <c r="P42" t="str">
        <f t="shared" ca="1" si="14"/>
        <v>""</v>
      </c>
      <c r="Q42" t="str">
        <f t="shared" ca="1" si="14"/>
        <v>""</v>
      </c>
      <c r="R42" t="str">
        <f t="shared" ca="1" si="14"/>
        <v>""</v>
      </c>
      <c r="S42" t="str">
        <f t="shared" ca="1" si="14"/>
        <v>""</v>
      </c>
      <c r="T42" t="s">
        <v>66</v>
      </c>
      <c r="U42" s="11" t="s">
        <v>50</v>
      </c>
      <c r="V42" s="7" t="s">
        <v>67</v>
      </c>
      <c r="W42" s="11" t="s">
        <v>50</v>
      </c>
      <c r="X42" t="str">
        <f t="shared" ca="1" si="4"/>
        <v>"P20"</v>
      </c>
      <c r="Y42" s="9">
        <f t="shared" ca="1" si="11"/>
        <v>0</v>
      </c>
      <c r="Z42" s="9">
        <f t="shared" ca="1" si="11"/>
        <v>0</v>
      </c>
      <c r="AA42" s="6" t="s">
        <v>45</v>
      </c>
      <c r="AB42" s="13" t="s">
        <v>50</v>
      </c>
      <c r="AC42" s="7" t="s">
        <v>68</v>
      </c>
      <c r="AD42" s="13" t="s">
        <v>50</v>
      </c>
      <c r="AE42" s="6">
        <f t="shared" ca="1" si="12"/>
        <v>0</v>
      </c>
      <c r="AF42" t="str">
        <f t="shared" ca="1" si="15"/>
        <v>"1"</v>
      </c>
      <c r="AG42" t="str">
        <f t="shared" ca="1" si="15"/>
        <v>"1001.X710.X"</v>
      </c>
      <c r="AH42" s="14">
        <f t="shared" ca="1" si="13"/>
        <v>42277</v>
      </c>
      <c r="AI42" s="6" t="s">
        <v>45</v>
      </c>
      <c r="AJ42" t="str">
        <f t="shared" ca="1" si="6"/>
        <v>""</v>
      </c>
      <c r="AK42" t="str">
        <f t="shared" ca="1" si="6"/>
        <v>""</v>
      </c>
      <c r="AL42" t="str">
        <f t="shared" ca="1" si="6"/>
        <v>"P20"</v>
      </c>
      <c r="AM42" t="s">
        <v>66</v>
      </c>
      <c r="AN42" t="s">
        <v>66</v>
      </c>
      <c r="AO42" s="7" t="s">
        <v>50</v>
      </c>
      <c r="AP42" s="12" t="s">
        <v>58</v>
      </c>
    </row>
    <row r="43" spans="1:42" x14ac:dyDescent="0.3">
      <c r="A43" s="7" t="s">
        <v>63</v>
      </c>
      <c r="B43" s="7" t="s">
        <v>64</v>
      </c>
      <c r="C43" s="7" t="s">
        <v>50</v>
      </c>
      <c r="D43" t="str">
        <f t="shared" ca="1" si="0"/>
        <v>""</v>
      </c>
      <c r="E43" s="14">
        <f t="shared" ca="1" si="7"/>
        <v>0</v>
      </c>
      <c r="F43" s="6">
        <f t="shared" ca="1" si="8"/>
        <v>0</v>
      </c>
      <c r="G43" t="s">
        <v>65</v>
      </c>
      <c r="H43" t="str">
        <f t="shared" ca="1" si="1"/>
        <v>""</v>
      </c>
      <c r="I43" s="9">
        <f t="shared" ca="1" si="9"/>
        <v>0</v>
      </c>
      <c r="J43" s="14">
        <f t="shared" ca="1" si="10"/>
        <v>0</v>
      </c>
      <c r="K43" s="14">
        <f t="shared" ca="1" si="10"/>
        <v>0</v>
      </c>
      <c r="L43" s="9">
        <v>0</v>
      </c>
      <c r="M43" t="str">
        <f ca="1">Quotes&amp;Format!N47&amp;UPPER(INDIRECT(M$1,TRUE))&amp;Quotes</f>
        <v>""</v>
      </c>
      <c r="N43" t="str">
        <f t="shared" ca="1" si="2"/>
        <v>","</v>
      </c>
      <c r="O43" t="s">
        <v>66</v>
      </c>
      <c r="P43" t="str">
        <f t="shared" ca="1" si="14"/>
        <v>""</v>
      </c>
      <c r="Q43" t="str">
        <f t="shared" ca="1" si="14"/>
        <v>""</v>
      </c>
      <c r="R43" t="str">
        <f t="shared" ca="1" si="14"/>
        <v>""</v>
      </c>
      <c r="S43" t="str">
        <f t="shared" ca="1" si="14"/>
        <v>""</v>
      </c>
      <c r="T43" t="s">
        <v>66</v>
      </c>
      <c r="U43" s="11" t="s">
        <v>50</v>
      </c>
      <c r="V43" s="7" t="s">
        <v>67</v>
      </c>
      <c r="W43" s="11" t="s">
        <v>50</v>
      </c>
      <c r="X43" t="str">
        <f t="shared" ca="1" si="4"/>
        <v>"P20"</v>
      </c>
      <c r="Y43" s="9">
        <f t="shared" ca="1" si="11"/>
        <v>0</v>
      </c>
      <c r="Z43" s="9">
        <f t="shared" ca="1" si="11"/>
        <v>0</v>
      </c>
      <c r="AA43" s="6" t="s">
        <v>45</v>
      </c>
      <c r="AB43" s="13" t="s">
        <v>50</v>
      </c>
      <c r="AC43" s="7" t="s">
        <v>68</v>
      </c>
      <c r="AD43" s="13" t="s">
        <v>50</v>
      </c>
      <c r="AE43" s="6">
        <f t="shared" ca="1" si="12"/>
        <v>0</v>
      </c>
      <c r="AF43" t="str">
        <f t="shared" ca="1" si="15"/>
        <v>"1"</v>
      </c>
      <c r="AG43" t="str">
        <f t="shared" ca="1" si="15"/>
        <v>"1001.X710.X"</v>
      </c>
      <c r="AH43" s="14">
        <f t="shared" ca="1" si="13"/>
        <v>42277</v>
      </c>
      <c r="AI43" s="6" t="s">
        <v>45</v>
      </c>
      <c r="AJ43" t="str">
        <f t="shared" ca="1" si="6"/>
        <v>""</v>
      </c>
      <c r="AK43" t="str">
        <f t="shared" ca="1" si="6"/>
        <v>""</v>
      </c>
      <c r="AL43" t="str">
        <f t="shared" ca="1" si="6"/>
        <v>"P20"</v>
      </c>
      <c r="AM43" t="s">
        <v>66</v>
      </c>
      <c r="AN43" t="s">
        <v>66</v>
      </c>
      <c r="AO43" s="7" t="s">
        <v>50</v>
      </c>
      <c r="AP43" s="12" t="s">
        <v>58</v>
      </c>
    </row>
    <row r="44" spans="1:42" x14ac:dyDescent="0.3">
      <c r="A44" s="7" t="s">
        <v>63</v>
      </c>
      <c r="B44" s="7" t="s">
        <v>64</v>
      </c>
      <c r="C44" s="7" t="s">
        <v>50</v>
      </c>
      <c r="D44" t="str">
        <f t="shared" ca="1" si="0"/>
        <v>""</v>
      </c>
      <c r="E44" s="14">
        <f t="shared" ca="1" si="7"/>
        <v>0</v>
      </c>
      <c r="F44" s="6">
        <f t="shared" ca="1" si="8"/>
        <v>0</v>
      </c>
      <c r="G44" t="s">
        <v>65</v>
      </c>
      <c r="H44" t="str">
        <f t="shared" ca="1" si="1"/>
        <v>""</v>
      </c>
      <c r="I44" s="9">
        <f t="shared" ca="1" si="9"/>
        <v>0</v>
      </c>
      <c r="J44" s="14">
        <f t="shared" ca="1" si="10"/>
        <v>0</v>
      </c>
      <c r="K44" s="14">
        <f t="shared" ca="1" si="10"/>
        <v>0</v>
      </c>
      <c r="L44" s="9">
        <v>0</v>
      </c>
      <c r="M44" t="str">
        <f ca="1">Quotes&amp;Format!N48&amp;UPPER(INDIRECT(M$1,TRUE))&amp;Quotes</f>
        <v>""</v>
      </c>
      <c r="N44" t="str">
        <f t="shared" ca="1" si="2"/>
        <v>","</v>
      </c>
      <c r="O44" t="s">
        <v>66</v>
      </c>
      <c r="P44" t="str">
        <f t="shared" ca="1" si="14"/>
        <v>""</v>
      </c>
      <c r="Q44" t="str">
        <f t="shared" ca="1" si="14"/>
        <v>""</v>
      </c>
      <c r="R44" t="str">
        <f t="shared" ca="1" si="14"/>
        <v>""</v>
      </c>
      <c r="S44" t="str">
        <f t="shared" ca="1" si="14"/>
        <v>""</v>
      </c>
      <c r="T44" t="s">
        <v>66</v>
      </c>
      <c r="U44" s="11" t="s">
        <v>50</v>
      </c>
      <c r="V44" s="7" t="s">
        <v>67</v>
      </c>
      <c r="W44" s="11" t="s">
        <v>50</v>
      </c>
      <c r="X44" t="str">
        <f t="shared" ca="1" si="4"/>
        <v>"P20"</v>
      </c>
      <c r="Y44" s="9">
        <f t="shared" ca="1" si="11"/>
        <v>0</v>
      </c>
      <c r="Z44" s="9">
        <f t="shared" ca="1" si="11"/>
        <v>0</v>
      </c>
      <c r="AA44" s="6" t="s">
        <v>45</v>
      </c>
      <c r="AB44" s="13" t="s">
        <v>50</v>
      </c>
      <c r="AC44" s="7" t="s">
        <v>68</v>
      </c>
      <c r="AD44" s="13" t="s">
        <v>50</v>
      </c>
      <c r="AE44" s="6">
        <f t="shared" ca="1" si="12"/>
        <v>0</v>
      </c>
      <c r="AF44" t="str">
        <f t="shared" ref="AF44:AG63" ca="1" si="16">Quotes&amp;IF(INDIRECT(AF$1,TRUE)="","""",UPPER(INDIRECT(AF$1,TRUE))&amp;Quotes)</f>
        <v>"1"</v>
      </c>
      <c r="AG44" t="str">
        <f t="shared" ca="1" si="16"/>
        <v>"1001.X710.X"</v>
      </c>
      <c r="AH44" s="14">
        <f t="shared" ca="1" si="13"/>
        <v>42277</v>
      </c>
      <c r="AI44" s="6" t="s">
        <v>45</v>
      </c>
      <c r="AJ44" t="str">
        <f t="shared" ca="1" si="6"/>
        <v>""</v>
      </c>
      <c r="AK44" t="str">
        <f t="shared" ca="1" si="6"/>
        <v>""</v>
      </c>
      <c r="AL44" t="str">
        <f t="shared" ca="1" si="6"/>
        <v>"P20"</v>
      </c>
      <c r="AM44" t="s">
        <v>66</v>
      </c>
      <c r="AN44" t="s">
        <v>66</v>
      </c>
      <c r="AO44" s="7" t="s">
        <v>50</v>
      </c>
      <c r="AP44" s="12" t="s">
        <v>58</v>
      </c>
    </row>
    <row r="45" spans="1:42" x14ac:dyDescent="0.3">
      <c r="A45" s="7" t="s">
        <v>63</v>
      </c>
      <c r="B45" s="7" t="s">
        <v>64</v>
      </c>
      <c r="C45" s="7" t="s">
        <v>50</v>
      </c>
      <c r="D45" t="str">
        <f t="shared" ca="1" si="0"/>
        <v>""</v>
      </c>
      <c r="E45" s="14">
        <f t="shared" ca="1" si="7"/>
        <v>0</v>
      </c>
      <c r="F45" s="6">
        <f t="shared" ca="1" si="8"/>
        <v>0</v>
      </c>
      <c r="G45" t="s">
        <v>65</v>
      </c>
      <c r="H45" t="str">
        <f t="shared" ca="1" si="1"/>
        <v>""</v>
      </c>
      <c r="I45" s="9">
        <f t="shared" ca="1" si="9"/>
        <v>0</v>
      </c>
      <c r="J45" s="14">
        <f t="shared" ca="1" si="10"/>
        <v>0</v>
      </c>
      <c r="K45" s="14">
        <f t="shared" ca="1" si="10"/>
        <v>0</v>
      </c>
      <c r="L45" s="9">
        <v>0</v>
      </c>
      <c r="M45" t="str">
        <f ca="1">Quotes&amp;Format!N49&amp;UPPER(INDIRECT(M$1,TRUE))&amp;Quotes</f>
        <v>""</v>
      </c>
      <c r="N45" t="str">
        <f t="shared" ca="1" si="2"/>
        <v>","</v>
      </c>
      <c r="O45" t="s">
        <v>66</v>
      </c>
      <c r="P45" t="str">
        <f t="shared" ca="1" si="14"/>
        <v>""</v>
      </c>
      <c r="Q45" t="str">
        <f t="shared" ca="1" si="14"/>
        <v>""</v>
      </c>
      <c r="R45" t="str">
        <f t="shared" ca="1" si="14"/>
        <v>""</v>
      </c>
      <c r="S45" t="str">
        <f t="shared" ca="1" si="14"/>
        <v>""</v>
      </c>
      <c r="T45" t="s">
        <v>66</v>
      </c>
      <c r="U45" s="11" t="s">
        <v>50</v>
      </c>
      <c r="V45" s="7" t="s">
        <v>67</v>
      </c>
      <c r="W45" s="11" t="s">
        <v>50</v>
      </c>
      <c r="X45" t="str">
        <f t="shared" ca="1" si="4"/>
        <v>"P20"</v>
      </c>
      <c r="Y45" s="9">
        <f t="shared" ca="1" si="11"/>
        <v>0</v>
      </c>
      <c r="Z45" s="9">
        <f t="shared" ca="1" si="11"/>
        <v>0</v>
      </c>
      <c r="AA45" s="6" t="s">
        <v>45</v>
      </c>
      <c r="AB45" s="13" t="s">
        <v>50</v>
      </c>
      <c r="AC45" s="7" t="s">
        <v>68</v>
      </c>
      <c r="AD45" s="13" t="s">
        <v>50</v>
      </c>
      <c r="AE45" s="6">
        <f t="shared" ca="1" si="12"/>
        <v>0</v>
      </c>
      <c r="AF45" t="str">
        <f t="shared" ca="1" si="16"/>
        <v>"1"</v>
      </c>
      <c r="AG45" t="str">
        <f t="shared" ca="1" si="16"/>
        <v>"1001.X710.X"</v>
      </c>
      <c r="AH45" s="14">
        <f t="shared" ca="1" si="13"/>
        <v>42277</v>
      </c>
      <c r="AI45" s="6" t="s">
        <v>45</v>
      </c>
      <c r="AJ45" t="str">
        <f t="shared" ca="1" si="6"/>
        <v>""</v>
      </c>
      <c r="AK45" t="str">
        <f t="shared" ca="1" si="6"/>
        <v>""</v>
      </c>
      <c r="AL45" t="str">
        <f t="shared" ca="1" si="6"/>
        <v>"P20"</v>
      </c>
      <c r="AM45" t="s">
        <v>66</v>
      </c>
      <c r="AN45" t="s">
        <v>66</v>
      </c>
      <c r="AO45" s="7" t="s">
        <v>50</v>
      </c>
      <c r="AP45" s="12" t="s">
        <v>58</v>
      </c>
    </row>
    <row r="46" spans="1:42" x14ac:dyDescent="0.3">
      <c r="A46" s="7" t="s">
        <v>63</v>
      </c>
      <c r="B46" s="7" t="s">
        <v>64</v>
      </c>
      <c r="C46" s="7" t="s">
        <v>50</v>
      </c>
      <c r="D46" t="str">
        <f t="shared" ca="1" si="0"/>
        <v>""</v>
      </c>
      <c r="E46" s="14">
        <f t="shared" ca="1" si="7"/>
        <v>0</v>
      </c>
      <c r="F46" s="6">
        <f t="shared" ca="1" si="8"/>
        <v>0</v>
      </c>
      <c r="G46" t="s">
        <v>65</v>
      </c>
      <c r="H46" t="str">
        <f t="shared" ca="1" si="1"/>
        <v>""</v>
      </c>
      <c r="I46" s="9">
        <f t="shared" ca="1" si="9"/>
        <v>0</v>
      </c>
      <c r="J46" s="14">
        <f t="shared" ca="1" si="10"/>
        <v>0</v>
      </c>
      <c r="K46" s="14">
        <f t="shared" ca="1" si="10"/>
        <v>0</v>
      </c>
      <c r="L46" s="9">
        <v>0</v>
      </c>
      <c r="M46" t="str">
        <f ca="1">Quotes&amp;Format!N50&amp;UPPER(INDIRECT(M$1,TRUE))&amp;Quotes</f>
        <v>""</v>
      </c>
      <c r="N46" t="str">
        <f t="shared" ca="1" si="2"/>
        <v>","</v>
      </c>
      <c r="O46" t="s">
        <v>66</v>
      </c>
      <c r="P46" t="str">
        <f t="shared" ca="1" si="14"/>
        <v>""</v>
      </c>
      <c r="Q46" t="str">
        <f t="shared" ca="1" si="14"/>
        <v>""</v>
      </c>
      <c r="R46" t="str">
        <f t="shared" ca="1" si="14"/>
        <v>""</v>
      </c>
      <c r="S46" t="str">
        <f t="shared" ca="1" si="14"/>
        <v>""</v>
      </c>
      <c r="T46" t="s">
        <v>66</v>
      </c>
      <c r="U46" s="11" t="s">
        <v>50</v>
      </c>
      <c r="V46" s="7" t="s">
        <v>67</v>
      </c>
      <c r="W46" s="11" t="s">
        <v>50</v>
      </c>
      <c r="X46" t="str">
        <f t="shared" ca="1" si="4"/>
        <v>"P20"</v>
      </c>
      <c r="Y46" s="9">
        <f t="shared" ca="1" si="11"/>
        <v>0</v>
      </c>
      <c r="Z46" s="9">
        <f t="shared" ca="1" si="11"/>
        <v>0</v>
      </c>
      <c r="AA46" s="6" t="s">
        <v>45</v>
      </c>
      <c r="AB46" s="13" t="s">
        <v>50</v>
      </c>
      <c r="AC46" s="7" t="s">
        <v>68</v>
      </c>
      <c r="AD46" s="13" t="s">
        <v>50</v>
      </c>
      <c r="AE46" s="6">
        <f t="shared" ca="1" si="12"/>
        <v>0</v>
      </c>
      <c r="AF46" t="str">
        <f t="shared" ca="1" si="16"/>
        <v>"1"</v>
      </c>
      <c r="AG46" t="str">
        <f t="shared" ca="1" si="16"/>
        <v>"1001.X710.X"</v>
      </c>
      <c r="AH46" s="14">
        <f t="shared" ca="1" si="13"/>
        <v>42277</v>
      </c>
      <c r="AI46" s="6" t="s">
        <v>45</v>
      </c>
      <c r="AJ46" t="str">
        <f t="shared" ca="1" si="6"/>
        <v>""</v>
      </c>
      <c r="AK46" t="str">
        <f t="shared" ca="1" si="6"/>
        <v>""</v>
      </c>
      <c r="AL46" t="str">
        <f t="shared" ca="1" si="6"/>
        <v>"P20"</v>
      </c>
      <c r="AM46" t="s">
        <v>66</v>
      </c>
      <c r="AN46" t="s">
        <v>66</v>
      </c>
      <c r="AO46" s="7" t="s">
        <v>50</v>
      </c>
      <c r="AP46" s="12" t="s">
        <v>58</v>
      </c>
    </row>
    <row r="47" spans="1:42" x14ac:dyDescent="0.3">
      <c r="A47" s="7" t="s">
        <v>63</v>
      </c>
      <c r="B47" s="7" t="s">
        <v>64</v>
      </c>
      <c r="C47" s="7" t="s">
        <v>50</v>
      </c>
      <c r="D47" t="str">
        <f t="shared" ca="1" si="0"/>
        <v>""</v>
      </c>
      <c r="E47" s="14">
        <f t="shared" ca="1" si="7"/>
        <v>0</v>
      </c>
      <c r="F47" s="6">
        <f t="shared" ca="1" si="8"/>
        <v>0</v>
      </c>
      <c r="G47" t="s">
        <v>65</v>
      </c>
      <c r="H47" t="str">
        <f t="shared" ca="1" si="1"/>
        <v>""</v>
      </c>
      <c r="I47" s="9">
        <f t="shared" ca="1" si="9"/>
        <v>0</v>
      </c>
      <c r="J47" s="14">
        <f t="shared" ca="1" si="10"/>
        <v>0</v>
      </c>
      <c r="K47" s="14">
        <f t="shared" ca="1" si="10"/>
        <v>0</v>
      </c>
      <c r="L47" s="9">
        <v>0</v>
      </c>
      <c r="M47" t="str">
        <f ca="1">Quotes&amp;Format!N51&amp;UPPER(INDIRECT(M$1,TRUE))&amp;Quotes</f>
        <v>""</v>
      </c>
      <c r="N47" t="str">
        <f t="shared" ca="1" si="2"/>
        <v>","</v>
      </c>
      <c r="O47" t="s">
        <v>66</v>
      </c>
      <c r="P47" t="str">
        <f t="shared" ca="1" si="14"/>
        <v>""</v>
      </c>
      <c r="Q47" t="str">
        <f t="shared" ca="1" si="14"/>
        <v>""</v>
      </c>
      <c r="R47" t="str">
        <f t="shared" ca="1" si="14"/>
        <v>""</v>
      </c>
      <c r="S47" t="str">
        <f t="shared" ca="1" si="14"/>
        <v>""</v>
      </c>
      <c r="T47" t="s">
        <v>66</v>
      </c>
      <c r="U47" s="11" t="s">
        <v>50</v>
      </c>
      <c r="V47" s="7" t="s">
        <v>67</v>
      </c>
      <c r="W47" s="11" t="s">
        <v>50</v>
      </c>
      <c r="X47" t="str">
        <f t="shared" ca="1" si="4"/>
        <v>"P20"</v>
      </c>
      <c r="Y47" s="9">
        <f t="shared" ca="1" si="11"/>
        <v>0</v>
      </c>
      <c r="Z47" s="9">
        <f t="shared" ca="1" si="11"/>
        <v>0</v>
      </c>
      <c r="AA47" s="6" t="s">
        <v>45</v>
      </c>
      <c r="AB47" s="13" t="s">
        <v>50</v>
      </c>
      <c r="AC47" s="7" t="s">
        <v>68</v>
      </c>
      <c r="AD47" s="13" t="s">
        <v>50</v>
      </c>
      <c r="AE47" s="6">
        <f t="shared" ca="1" si="12"/>
        <v>0</v>
      </c>
      <c r="AF47" t="str">
        <f t="shared" ca="1" si="16"/>
        <v>"1"</v>
      </c>
      <c r="AG47" t="str">
        <f t="shared" ca="1" si="16"/>
        <v>"1001.X710.X"</v>
      </c>
      <c r="AH47" s="14">
        <f t="shared" ca="1" si="13"/>
        <v>42277</v>
      </c>
      <c r="AI47" s="6" t="s">
        <v>45</v>
      </c>
      <c r="AJ47" t="str">
        <f t="shared" ca="1" si="6"/>
        <v>""</v>
      </c>
      <c r="AK47" t="str">
        <f t="shared" ca="1" si="6"/>
        <v>""</v>
      </c>
      <c r="AL47" t="str">
        <f t="shared" ca="1" si="6"/>
        <v>"P20"</v>
      </c>
      <c r="AM47" t="s">
        <v>66</v>
      </c>
      <c r="AN47" t="s">
        <v>66</v>
      </c>
      <c r="AO47" s="7" t="s">
        <v>50</v>
      </c>
      <c r="AP47" s="12" t="s">
        <v>58</v>
      </c>
    </row>
    <row r="48" spans="1:42" x14ac:dyDescent="0.3">
      <c r="A48" s="7" t="s">
        <v>63</v>
      </c>
      <c r="B48" s="7" t="s">
        <v>64</v>
      </c>
      <c r="C48" s="7" t="s">
        <v>50</v>
      </c>
      <c r="D48" t="str">
        <f t="shared" ca="1" si="0"/>
        <v>""</v>
      </c>
      <c r="E48" s="14">
        <f t="shared" ca="1" si="7"/>
        <v>0</v>
      </c>
      <c r="F48" s="6">
        <f t="shared" ca="1" si="8"/>
        <v>0</v>
      </c>
      <c r="G48" t="s">
        <v>65</v>
      </c>
      <c r="H48" t="str">
        <f t="shared" ca="1" si="1"/>
        <v>""</v>
      </c>
      <c r="I48" s="9">
        <f t="shared" ca="1" si="9"/>
        <v>0</v>
      </c>
      <c r="J48" s="14">
        <f t="shared" ca="1" si="10"/>
        <v>0</v>
      </c>
      <c r="K48" s="14">
        <f t="shared" ca="1" si="10"/>
        <v>0</v>
      </c>
      <c r="L48" s="9">
        <v>0</v>
      </c>
      <c r="M48" t="str">
        <f ca="1">Quotes&amp;Format!N52&amp;UPPER(INDIRECT(M$1,TRUE))&amp;Quotes</f>
        <v>""</v>
      </c>
      <c r="N48" t="str">
        <f t="shared" ca="1" si="2"/>
        <v>","</v>
      </c>
      <c r="O48" t="s">
        <v>66</v>
      </c>
      <c r="P48" t="str">
        <f t="shared" ca="1" si="14"/>
        <v>""</v>
      </c>
      <c r="Q48" t="str">
        <f t="shared" ca="1" si="14"/>
        <v>""</v>
      </c>
      <c r="R48" t="str">
        <f t="shared" ca="1" si="14"/>
        <v>""</v>
      </c>
      <c r="S48" t="str">
        <f t="shared" ca="1" si="14"/>
        <v>""</v>
      </c>
      <c r="T48" t="s">
        <v>66</v>
      </c>
      <c r="U48" s="11" t="s">
        <v>50</v>
      </c>
      <c r="V48" s="7" t="s">
        <v>67</v>
      </c>
      <c r="W48" s="11" t="s">
        <v>50</v>
      </c>
      <c r="X48" t="str">
        <f t="shared" ca="1" si="4"/>
        <v>"P20"</v>
      </c>
      <c r="Y48" s="9">
        <f t="shared" ca="1" si="11"/>
        <v>0</v>
      </c>
      <c r="Z48" s="9">
        <f t="shared" ca="1" si="11"/>
        <v>0</v>
      </c>
      <c r="AA48" s="6" t="s">
        <v>45</v>
      </c>
      <c r="AB48" s="13" t="s">
        <v>50</v>
      </c>
      <c r="AC48" s="7" t="s">
        <v>68</v>
      </c>
      <c r="AD48" s="13" t="s">
        <v>50</v>
      </c>
      <c r="AE48" s="6">
        <f t="shared" ca="1" si="12"/>
        <v>0</v>
      </c>
      <c r="AF48" t="str">
        <f t="shared" ca="1" si="16"/>
        <v>"1"</v>
      </c>
      <c r="AG48" t="str">
        <f t="shared" ca="1" si="16"/>
        <v>"1001.X710.X"</v>
      </c>
      <c r="AH48" s="14">
        <f t="shared" ca="1" si="13"/>
        <v>42277</v>
      </c>
      <c r="AI48" s="6" t="s">
        <v>45</v>
      </c>
      <c r="AJ48" t="str">
        <f t="shared" ca="1" si="6"/>
        <v>""</v>
      </c>
      <c r="AK48" t="str">
        <f t="shared" ca="1" si="6"/>
        <v>""</v>
      </c>
      <c r="AL48" t="str">
        <f t="shared" ca="1" si="6"/>
        <v>"P20"</v>
      </c>
      <c r="AM48" t="s">
        <v>66</v>
      </c>
      <c r="AN48" t="s">
        <v>66</v>
      </c>
      <c r="AO48" s="7" t="s">
        <v>50</v>
      </c>
      <c r="AP48" s="12" t="s">
        <v>58</v>
      </c>
    </row>
    <row r="49" spans="1:42" x14ac:dyDescent="0.3">
      <c r="A49" s="7" t="s">
        <v>63</v>
      </c>
      <c r="B49" s="7" t="s">
        <v>64</v>
      </c>
      <c r="C49" s="7" t="s">
        <v>50</v>
      </c>
      <c r="D49" t="str">
        <f t="shared" ca="1" si="0"/>
        <v>""</v>
      </c>
      <c r="E49" s="14">
        <f t="shared" ca="1" si="7"/>
        <v>0</v>
      </c>
      <c r="F49" s="6">
        <f t="shared" ca="1" si="8"/>
        <v>0</v>
      </c>
      <c r="G49" t="s">
        <v>65</v>
      </c>
      <c r="H49" t="str">
        <f t="shared" ca="1" si="1"/>
        <v>""</v>
      </c>
      <c r="I49" s="9">
        <f t="shared" ca="1" si="9"/>
        <v>0</v>
      </c>
      <c r="J49" s="14">
        <f t="shared" ca="1" si="10"/>
        <v>0</v>
      </c>
      <c r="K49" s="14">
        <f t="shared" ca="1" si="10"/>
        <v>0</v>
      </c>
      <c r="L49" s="9">
        <v>0</v>
      </c>
      <c r="M49" t="str">
        <f ca="1">Quotes&amp;Format!N53&amp;UPPER(INDIRECT(M$1,TRUE))&amp;Quotes</f>
        <v>""</v>
      </c>
      <c r="N49" t="str">
        <f t="shared" ca="1" si="2"/>
        <v>","</v>
      </c>
      <c r="O49" t="s">
        <v>66</v>
      </c>
      <c r="P49" t="str">
        <f t="shared" ca="1" si="14"/>
        <v>""</v>
      </c>
      <c r="Q49" t="str">
        <f t="shared" ca="1" si="14"/>
        <v>""</v>
      </c>
      <c r="R49" t="str">
        <f t="shared" ca="1" si="14"/>
        <v>""</v>
      </c>
      <c r="S49" t="str">
        <f t="shared" ca="1" si="14"/>
        <v>""</v>
      </c>
      <c r="T49" t="s">
        <v>66</v>
      </c>
      <c r="U49" s="11" t="s">
        <v>50</v>
      </c>
      <c r="V49" s="7" t="s">
        <v>67</v>
      </c>
      <c r="W49" s="11" t="s">
        <v>50</v>
      </c>
      <c r="X49" t="str">
        <f t="shared" ca="1" si="4"/>
        <v>"P20"</v>
      </c>
      <c r="Y49" s="9">
        <f t="shared" ca="1" si="11"/>
        <v>0</v>
      </c>
      <c r="Z49" s="9">
        <f t="shared" ca="1" si="11"/>
        <v>0</v>
      </c>
      <c r="AA49" s="6" t="s">
        <v>45</v>
      </c>
      <c r="AB49" s="13" t="s">
        <v>50</v>
      </c>
      <c r="AC49" s="7" t="s">
        <v>68</v>
      </c>
      <c r="AD49" s="13" t="s">
        <v>50</v>
      </c>
      <c r="AE49" s="6">
        <f t="shared" ca="1" si="12"/>
        <v>0</v>
      </c>
      <c r="AF49" t="str">
        <f t="shared" ca="1" si="16"/>
        <v>"1"</v>
      </c>
      <c r="AG49" t="str">
        <f t="shared" ca="1" si="16"/>
        <v>"1001.X710.X"</v>
      </c>
      <c r="AH49" s="14">
        <f t="shared" ca="1" si="13"/>
        <v>42277</v>
      </c>
      <c r="AI49" s="6" t="s">
        <v>45</v>
      </c>
      <c r="AJ49" t="str">
        <f t="shared" ca="1" si="6"/>
        <v>""</v>
      </c>
      <c r="AK49" t="str">
        <f t="shared" ca="1" si="6"/>
        <v>""</v>
      </c>
      <c r="AL49" t="str">
        <f t="shared" ca="1" si="6"/>
        <v>"P20"</v>
      </c>
      <c r="AM49" t="s">
        <v>66</v>
      </c>
      <c r="AN49" t="s">
        <v>66</v>
      </c>
      <c r="AO49" s="7" t="s">
        <v>50</v>
      </c>
      <c r="AP49" s="12" t="s">
        <v>58</v>
      </c>
    </row>
    <row r="50" spans="1:42" x14ac:dyDescent="0.3">
      <c r="A50" s="7" t="s">
        <v>63</v>
      </c>
      <c r="B50" s="7" t="s">
        <v>64</v>
      </c>
      <c r="C50" s="7" t="s">
        <v>50</v>
      </c>
      <c r="D50" t="str">
        <f t="shared" ca="1" si="0"/>
        <v>""</v>
      </c>
      <c r="E50" s="14">
        <f t="shared" ca="1" si="7"/>
        <v>0</v>
      </c>
      <c r="F50" s="6">
        <f t="shared" ca="1" si="8"/>
        <v>0</v>
      </c>
      <c r="G50" t="s">
        <v>65</v>
      </c>
      <c r="H50" t="str">
        <f t="shared" ca="1" si="1"/>
        <v>""</v>
      </c>
      <c r="I50" s="9">
        <f t="shared" ca="1" si="9"/>
        <v>0</v>
      </c>
      <c r="J50" s="14">
        <f t="shared" ca="1" si="10"/>
        <v>0</v>
      </c>
      <c r="K50" s="14">
        <f t="shared" ca="1" si="10"/>
        <v>0</v>
      </c>
      <c r="L50" s="9">
        <v>0</v>
      </c>
      <c r="M50" t="str">
        <f ca="1">Quotes&amp;Format!N54&amp;UPPER(INDIRECT(M$1,TRUE))&amp;Quotes</f>
        <v>""</v>
      </c>
      <c r="N50" t="str">
        <f t="shared" ca="1" si="2"/>
        <v>","</v>
      </c>
      <c r="O50" t="s">
        <v>66</v>
      </c>
      <c r="P50" t="str">
        <f t="shared" ca="1" si="14"/>
        <v>""</v>
      </c>
      <c r="Q50" t="str">
        <f t="shared" ca="1" si="14"/>
        <v>""</v>
      </c>
      <c r="R50" t="str">
        <f t="shared" ca="1" si="14"/>
        <v>""</v>
      </c>
      <c r="S50" t="str">
        <f t="shared" ca="1" si="14"/>
        <v>""</v>
      </c>
      <c r="T50" t="s">
        <v>66</v>
      </c>
      <c r="U50" s="11" t="s">
        <v>50</v>
      </c>
      <c r="V50" s="7" t="s">
        <v>67</v>
      </c>
      <c r="W50" s="11" t="s">
        <v>50</v>
      </c>
      <c r="X50" t="str">
        <f t="shared" ca="1" si="4"/>
        <v>"P20"</v>
      </c>
      <c r="Y50" s="9">
        <f t="shared" ca="1" si="11"/>
        <v>0</v>
      </c>
      <c r="Z50" s="9">
        <f t="shared" ca="1" si="11"/>
        <v>0</v>
      </c>
      <c r="AA50" s="6" t="s">
        <v>45</v>
      </c>
      <c r="AB50" s="13" t="s">
        <v>50</v>
      </c>
      <c r="AC50" s="7" t="s">
        <v>68</v>
      </c>
      <c r="AD50" s="13" t="s">
        <v>50</v>
      </c>
      <c r="AE50" s="6">
        <f t="shared" ca="1" si="12"/>
        <v>0</v>
      </c>
      <c r="AF50" t="str">
        <f t="shared" ca="1" si="16"/>
        <v>"1"</v>
      </c>
      <c r="AG50" t="str">
        <f t="shared" ca="1" si="16"/>
        <v>"1001.X710.X"</v>
      </c>
      <c r="AH50" s="14">
        <f t="shared" ca="1" si="13"/>
        <v>42277</v>
      </c>
      <c r="AI50" s="6" t="s">
        <v>45</v>
      </c>
      <c r="AJ50" t="str">
        <f t="shared" ca="1" si="6"/>
        <v>""</v>
      </c>
      <c r="AK50" t="str">
        <f t="shared" ca="1" si="6"/>
        <v>""</v>
      </c>
      <c r="AL50" t="str">
        <f t="shared" ca="1" si="6"/>
        <v>"P20"</v>
      </c>
      <c r="AM50" t="s">
        <v>66</v>
      </c>
      <c r="AN50" t="s">
        <v>66</v>
      </c>
      <c r="AO50" s="7" t="s">
        <v>50</v>
      </c>
      <c r="AP50" s="12" t="s">
        <v>58</v>
      </c>
    </row>
    <row r="51" spans="1:42" x14ac:dyDescent="0.3">
      <c r="A51" s="7" t="s">
        <v>63</v>
      </c>
      <c r="B51" s="7" t="s">
        <v>64</v>
      </c>
      <c r="C51" s="7" t="s">
        <v>50</v>
      </c>
      <c r="D51" t="str">
        <f t="shared" ca="1" si="0"/>
        <v>""</v>
      </c>
      <c r="E51" s="14">
        <f t="shared" ca="1" si="7"/>
        <v>0</v>
      </c>
      <c r="F51" s="6">
        <f t="shared" ca="1" si="8"/>
        <v>0</v>
      </c>
      <c r="G51" t="s">
        <v>65</v>
      </c>
      <c r="H51" t="str">
        <f t="shared" ca="1" si="1"/>
        <v>""</v>
      </c>
      <c r="I51" s="9">
        <f t="shared" ca="1" si="9"/>
        <v>0</v>
      </c>
      <c r="J51" s="14">
        <f t="shared" ca="1" si="10"/>
        <v>0</v>
      </c>
      <c r="K51" s="14">
        <f t="shared" ca="1" si="10"/>
        <v>0</v>
      </c>
      <c r="L51" s="9">
        <v>0</v>
      </c>
      <c r="M51" t="str">
        <f ca="1">Quotes&amp;Format!N55&amp;UPPER(INDIRECT(M$1,TRUE))&amp;Quotes</f>
        <v>""</v>
      </c>
      <c r="N51" t="str">
        <f t="shared" ca="1" si="2"/>
        <v>","</v>
      </c>
      <c r="O51" t="s">
        <v>66</v>
      </c>
      <c r="P51" t="str">
        <f t="shared" ca="1" si="14"/>
        <v>""</v>
      </c>
      <c r="Q51" t="str">
        <f t="shared" ca="1" si="14"/>
        <v>""</v>
      </c>
      <c r="R51" t="str">
        <f t="shared" ca="1" si="14"/>
        <v>""</v>
      </c>
      <c r="S51" t="str">
        <f t="shared" ca="1" si="14"/>
        <v>""</v>
      </c>
      <c r="T51" t="s">
        <v>66</v>
      </c>
      <c r="U51" s="11" t="s">
        <v>50</v>
      </c>
      <c r="V51" s="7" t="s">
        <v>67</v>
      </c>
      <c r="W51" s="11" t="s">
        <v>50</v>
      </c>
      <c r="X51" t="str">
        <f t="shared" ca="1" si="4"/>
        <v>"P20"</v>
      </c>
      <c r="Y51" s="9">
        <f t="shared" ca="1" si="11"/>
        <v>0</v>
      </c>
      <c r="Z51" s="9">
        <f t="shared" ca="1" si="11"/>
        <v>0</v>
      </c>
      <c r="AA51" s="6" t="s">
        <v>45</v>
      </c>
      <c r="AB51" s="13" t="s">
        <v>50</v>
      </c>
      <c r="AC51" s="7" t="s">
        <v>68</v>
      </c>
      <c r="AD51" s="13" t="s">
        <v>50</v>
      </c>
      <c r="AE51" s="6">
        <f t="shared" ca="1" si="12"/>
        <v>0</v>
      </c>
      <c r="AF51" t="str">
        <f t="shared" ca="1" si="16"/>
        <v>"1"</v>
      </c>
      <c r="AG51" t="str">
        <f t="shared" ca="1" si="16"/>
        <v>"1001.X710.X"</v>
      </c>
      <c r="AH51" s="14">
        <f t="shared" ca="1" si="13"/>
        <v>42277</v>
      </c>
      <c r="AI51" s="6" t="s">
        <v>45</v>
      </c>
      <c r="AJ51" t="str">
        <f t="shared" ca="1" si="6"/>
        <v>""</v>
      </c>
      <c r="AK51" t="str">
        <f t="shared" ca="1" si="6"/>
        <v>""</v>
      </c>
      <c r="AL51" t="str">
        <f t="shared" ca="1" si="6"/>
        <v>"P20"</v>
      </c>
      <c r="AM51" t="s">
        <v>66</v>
      </c>
      <c r="AN51" t="s">
        <v>66</v>
      </c>
      <c r="AO51" s="7" t="s">
        <v>50</v>
      </c>
      <c r="AP51" s="12" t="s">
        <v>58</v>
      </c>
    </row>
    <row r="52" spans="1:42" x14ac:dyDescent="0.3">
      <c r="A52" s="7" t="s">
        <v>63</v>
      </c>
      <c r="B52" s="7" t="s">
        <v>64</v>
      </c>
      <c r="C52" s="7" t="s">
        <v>50</v>
      </c>
      <c r="D52" t="str">
        <f t="shared" ca="1" si="0"/>
        <v>""</v>
      </c>
      <c r="E52" s="14">
        <f t="shared" ca="1" si="7"/>
        <v>0</v>
      </c>
      <c r="F52" s="6">
        <f t="shared" ca="1" si="8"/>
        <v>0</v>
      </c>
      <c r="G52" t="s">
        <v>65</v>
      </c>
      <c r="H52" t="str">
        <f t="shared" ca="1" si="1"/>
        <v>""</v>
      </c>
      <c r="I52" s="9">
        <f t="shared" ca="1" si="9"/>
        <v>0</v>
      </c>
      <c r="J52" s="14">
        <f t="shared" ca="1" si="10"/>
        <v>0</v>
      </c>
      <c r="K52" s="14">
        <f t="shared" ca="1" si="10"/>
        <v>0</v>
      </c>
      <c r="L52" s="9">
        <v>0</v>
      </c>
      <c r="M52" t="str">
        <f ca="1">Quotes&amp;Format!N56&amp;UPPER(INDIRECT(M$1,TRUE))&amp;Quotes</f>
        <v>""</v>
      </c>
      <c r="N52" t="str">
        <f t="shared" ca="1" si="2"/>
        <v>","</v>
      </c>
      <c r="O52" t="s">
        <v>66</v>
      </c>
      <c r="P52" t="str">
        <f t="shared" ca="1" si="14"/>
        <v>""</v>
      </c>
      <c r="Q52" t="str">
        <f t="shared" ca="1" si="14"/>
        <v>""</v>
      </c>
      <c r="R52" t="str">
        <f t="shared" ca="1" si="14"/>
        <v>""</v>
      </c>
      <c r="S52" t="str">
        <f t="shared" ca="1" si="14"/>
        <v>""</v>
      </c>
      <c r="T52" t="s">
        <v>66</v>
      </c>
      <c r="U52" s="11" t="s">
        <v>50</v>
      </c>
      <c r="V52" s="7" t="s">
        <v>67</v>
      </c>
      <c r="W52" s="11" t="s">
        <v>50</v>
      </c>
      <c r="X52" t="str">
        <f t="shared" ca="1" si="4"/>
        <v>"P20"</v>
      </c>
      <c r="Y52" s="9">
        <f t="shared" ca="1" si="11"/>
        <v>0</v>
      </c>
      <c r="Z52" s="9">
        <f t="shared" ca="1" si="11"/>
        <v>0</v>
      </c>
      <c r="AA52" s="6" t="s">
        <v>45</v>
      </c>
      <c r="AB52" s="13" t="s">
        <v>50</v>
      </c>
      <c r="AC52" s="7" t="s">
        <v>68</v>
      </c>
      <c r="AD52" s="13" t="s">
        <v>50</v>
      </c>
      <c r="AE52" s="6">
        <f t="shared" ca="1" si="12"/>
        <v>0</v>
      </c>
      <c r="AF52" t="str">
        <f t="shared" ca="1" si="16"/>
        <v>"1"</v>
      </c>
      <c r="AG52" t="str">
        <f t="shared" ca="1" si="16"/>
        <v>"1001.X710.X"</v>
      </c>
      <c r="AH52" s="14">
        <f t="shared" ca="1" si="13"/>
        <v>42277</v>
      </c>
      <c r="AI52" s="6" t="s">
        <v>45</v>
      </c>
      <c r="AJ52" t="str">
        <f t="shared" ca="1" si="6"/>
        <v>""</v>
      </c>
      <c r="AK52" t="str">
        <f t="shared" ca="1" si="6"/>
        <v>""</v>
      </c>
      <c r="AL52" t="str">
        <f t="shared" ca="1" si="6"/>
        <v>"P20"</v>
      </c>
      <c r="AM52" t="s">
        <v>66</v>
      </c>
      <c r="AN52" t="s">
        <v>66</v>
      </c>
      <c r="AO52" s="7" t="s">
        <v>50</v>
      </c>
      <c r="AP52" s="12" t="s">
        <v>58</v>
      </c>
    </row>
    <row r="53" spans="1:42" x14ac:dyDescent="0.3">
      <c r="A53" s="7" t="s">
        <v>63</v>
      </c>
      <c r="B53" s="7" t="s">
        <v>64</v>
      </c>
      <c r="C53" s="7" t="s">
        <v>50</v>
      </c>
      <c r="D53" t="str">
        <f t="shared" ca="1" si="0"/>
        <v>""</v>
      </c>
      <c r="E53" s="14">
        <f t="shared" ca="1" si="7"/>
        <v>0</v>
      </c>
      <c r="F53" s="6">
        <f t="shared" ca="1" si="8"/>
        <v>0</v>
      </c>
      <c r="G53" t="s">
        <v>65</v>
      </c>
      <c r="H53" t="str">
        <f t="shared" ca="1" si="1"/>
        <v>""</v>
      </c>
      <c r="I53" s="9">
        <f t="shared" ca="1" si="9"/>
        <v>0</v>
      </c>
      <c r="J53" s="14">
        <f t="shared" ca="1" si="10"/>
        <v>0</v>
      </c>
      <c r="K53" s="14">
        <f t="shared" ca="1" si="10"/>
        <v>0</v>
      </c>
      <c r="L53" s="9">
        <v>0</v>
      </c>
      <c r="M53" t="str">
        <f ca="1">Quotes&amp;Format!N57&amp;UPPER(INDIRECT(M$1,TRUE))&amp;Quotes</f>
        <v>""</v>
      </c>
      <c r="N53" t="str">
        <f t="shared" ca="1" si="2"/>
        <v>","</v>
      </c>
      <c r="O53" t="s">
        <v>66</v>
      </c>
      <c r="P53" t="str">
        <f t="shared" ca="1" si="14"/>
        <v>""</v>
      </c>
      <c r="Q53" t="str">
        <f t="shared" ca="1" si="14"/>
        <v>""</v>
      </c>
      <c r="R53" t="str">
        <f t="shared" ca="1" si="14"/>
        <v>""</v>
      </c>
      <c r="S53" t="str">
        <f t="shared" ca="1" si="14"/>
        <v>""</v>
      </c>
      <c r="T53" t="s">
        <v>66</v>
      </c>
      <c r="U53" s="11" t="s">
        <v>50</v>
      </c>
      <c r="V53" s="7" t="s">
        <v>67</v>
      </c>
      <c r="W53" s="11" t="s">
        <v>50</v>
      </c>
      <c r="X53" t="str">
        <f t="shared" ca="1" si="4"/>
        <v>"P20"</v>
      </c>
      <c r="Y53" s="9">
        <f t="shared" ca="1" si="11"/>
        <v>0</v>
      </c>
      <c r="Z53" s="9">
        <f t="shared" ca="1" si="11"/>
        <v>0</v>
      </c>
      <c r="AA53" s="6" t="s">
        <v>45</v>
      </c>
      <c r="AB53" s="13" t="s">
        <v>50</v>
      </c>
      <c r="AC53" s="7" t="s">
        <v>68</v>
      </c>
      <c r="AD53" s="13" t="s">
        <v>50</v>
      </c>
      <c r="AE53" s="6">
        <f t="shared" ca="1" si="12"/>
        <v>0</v>
      </c>
      <c r="AF53" t="str">
        <f t="shared" ca="1" si="16"/>
        <v>"1"</v>
      </c>
      <c r="AG53" t="str">
        <f t="shared" ca="1" si="16"/>
        <v>"1001.X710.X"</v>
      </c>
      <c r="AH53" s="14">
        <f t="shared" ca="1" si="13"/>
        <v>42277</v>
      </c>
      <c r="AI53" s="6" t="s">
        <v>45</v>
      </c>
      <c r="AJ53" t="str">
        <f t="shared" ca="1" si="6"/>
        <v>""</v>
      </c>
      <c r="AK53" t="str">
        <f t="shared" ca="1" si="6"/>
        <v>""</v>
      </c>
      <c r="AL53" t="str">
        <f t="shared" ca="1" si="6"/>
        <v>"P20"</v>
      </c>
      <c r="AM53" t="s">
        <v>66</v>
      </c>
      <c r="AN53" t="s">
        <v>66</v>
      </c>
      <c r="AO53" s="7" t="s">
        <v>50</v>
      </c>
      <c r="AP53" s="12" t="s">
        <v>58</v>
      </c>
    </row>
    <row r="54" spans="1:42" x14ac:dyDescent="0.3">
      <c r="A54" s="7" t="s">
        <v>63</v>
      </c>
      <c r="B54" s="7" t="s">
        <v>64</v>
      </c>
      <c r="C54" s="7" t="s">
        <v>50</v>
      </c>
      <c r="D54" t="str">
        <f t="shared" ca="1" si="0"/>
        <v>""</v>
      </c>
      <c r="E54" s="14">
        <f t="shared" ca="1" si="7"/>
        <v>0</v>
      </c>
      <c r="F54" s="6">
        <f t="shared" ca="1" si="8"/>
        <v>0</v>
      </c>
      <c r="G54" t="s">
        <v>65</v>
      </c>
      <c r="H54" t="str">
        <f t="shared" ca="1" si="1"/>
        <v>""</v>
      </c>
      <c r="I54" s="9">
        <f t="shared" ca="1" si="9"/>
        <v>0</v>
      </c>
      <c r="J54" s="14">
        <f t="shared" ca="1" si="10"/>
        <v>0</v>
      </c>
      <c r="K54" s="14">
        <f t="shared" ca="1" si="10"/>
        <v>0</v>
      </c>
      <c r="L54" s="9">
        <v>0</v>
      </c>
      <c r="M54" t="str">
        <f ca="1">Quotes&amp;Format!N58&amp;UPPER(INDIRECT(M$1,TRUE))&amp;Quotes</f>
        <v>""</v>
      </c>
      <c r="N54" t="str">
        <f t="shared" ca="1" si="2"/>
        <v>","</v>
      </c>
      <c r="O54" t="s">
        <v>66</v>
      </c>
      <c r="P54" t="str">
        <f t="shared" ca="1" si="14"/>
        <v>""</v>
      </c>
      <c r="Q54" t="str">
        <f t="shared" ca="1" si="14"/>
        <v>""</v>
      </c>
      <c r="R54" t="str">
        <f t="shared" ca="1" si="14"/>
        <v>""</v>
      </c>
      <c r="S54" t="str">
        <f t="shared" ca="1" si="14"/>
        <v>""</v>
      </c>
      <c r="T54" t="s">
        <v>66</v>
      </c>
      <c r="U54" s="11" t="s">
        <v>50</v>
      </c>
      <c r="V54" s="7" t="s">
        <v>67</v>
      </c>
      <c r="W54" s="11" t="s">
        <v>50</v>
      </c>
      <c r="X54" t="str">
        <f t="shared" ca="1" si="4"/>
        <v>"P20"</v>
      </c>
      <c r="Y54" s="9">
        <f t="shared" ca="1" si="11"/>
        <v>0</v>
      </c>
      <c r="Z54" s="9">
        <f t="shared" ca="1" si="11"/>
        <v>0</v>
      </c>
      <c r="AA54" s="6" t="s">
        <v>45</v>
      </c>
      <c r="AB54" s="13" t="s">
        <v>50</v>
      </c>
      <c r="AC54" s="7" t="s">
        <v>68</v>
      </c>
      <c r="AD54" s="13" t="s">
        <v>50</v>
      </c>
      <c r="AE54" s="6">
        <f t="shared" ca="1" si="12"/>
        <v>0</v>
      </c>
      <c r="AF54" t="str">
        <f t="shared" ca="1" si="16"/>
        <v>"1"</v>
      </c>
      <c r="AG54" t="str">
        <f t="shared" ca="1" si="16"/>
        <v>"1001.X710.X"</v>
      </c>
      <c r="AH54" s="14">
        <f t="shared" ca="1" si="13"/>
        <v>42277</v>
      </c>
      <c r="AI54" s="6" t="s">
        <v>45</v>
      </c>
      <c r="AJ54" t="str">
        <f t="shared" ca="1" si="6"/>
        <v>""</v>
      </c>
      <c r="AK54" t="str">
        <f t="shared" ca="1" si="6"/>
        <v>""</v>
      </c>
      <c r="AL54" t="str">
        <f t="shared" ca="1" si="6"/>
        <v>"P20"</v>
      </c>
      <c r="AM54" t="s">
        <v>66</v>
      </c>
      <c r="AN54" t="s">
        <v>66</v>
      </c>
      <c r="AO54" s="7" t="s">
        <v>50</v>
      </c>
      <c r="AP54" s="12" t="s">
        <v>58</v>
      </c>
    </row>
    <row r="55" spans="1:42" x14ac:dyDescent="0.3">
      <c r="A55" s="7" t="s">
        <v>63</v>
      </c>
      <c r="B55" s="7" t="s">
        <v>64</v>
      </c>
      <c r="C55" s="7" t="s">
        <v>50</v>
      </c>
      <c r="D55" t="str">
        <f t="shared" ca="1" si="0"/>
        <v>""</v>
      </c>
      <c r="E55" s="14">
        <f t="shared" ca="1" si="7"/>
        <v>0</v>
      </c>
      <c r="F55" s="6">
        <f t="shared" ca="1" si="8"/>
        <v>0</v>
      </c>
      <c r="G55" t="s">
        <v>65</v>
      </c>
      <c r="H55" t="str">
        <f t="shared" ca="1" si="1"/>
        <v>""</v>
      </c>
      <c r="I55" s="9">
        <f t="shared" ca="1" si="9"/>
        <v>0</v>
      </c>
      <c r="J55" s="14">
        <f t="shared" ca="1" si="10"/>
        <v>0</v>
      </c>
      <c r="K55" s="14">
        <f t="shared" ca="1" si="10"/>
        <v>0</v>
      </c>
      <c r="L55" s="9">
        <v>0</v>
      </c>
      <c r="M55" t="str">
        <f ca="1">Quotes&amp;Format!N59&amp;UPPER(INDIRECT(M$1,TRUE))&amp;Quotes</f>
        <v>""</v>
      </c>
      <c r="N55" t="str">
        <f t="shared" ca="1" si="2"/>
        <v>","</v>
      </c>
      <c r="O55" t="s">
        <v>66</v>
      </c>
      <c r="P55" t="str">
        <f t="shared" ca="1" si="14"/>
        <v>""</v>
      </c>
      <c r="Q55" t="str">
        <f t="shared" ca="1" si="14"/>
        <v>""</v>
      </c>
      <c r="R55" t="str">
        <f t="shared" ca="1" si="14"/>
        <v>""</v>
      </c>
      <c r="S55" t="str">
        <f t="shared" ca="1" si="14"/>
        <v>""</v>
      </c>
      <c r="T55" t="s">
        <v>66</v>
      </c>
      <c r="U55" s="11" t="s">
        <v>50</v>
      </c>
      <c r="V55" s="7" t="s">
        <v>67</v>
      </c>
      <c r="W55" s="11" t="s">
        <v>50</v>
      </c>
      <c r="X55" t="str">
        <f t="shared" ca="1" si="4"/>
        <v>"P20"</v>
      </c>
      <c r="Y55" s="9">
        <f t="shared" ca="1" si="11"/>
        <v>0</v>
      </c>
      <c r="Z55" s="9">
        <f t="shared" ca="1" si="11"/>
        <v>0</v>
      </c>
      <c r="AA55" s="6" t="s">
        <v>45</v>
      </c>
      <c r="AB55" s="13" t="s">
        <v>50</v>
      </c>
      <c r="AC55" s="7" t="s">
        <v>68</v>
      </c>
      <c r="AD55" s="13" t="s">
        <v>50</v>
      </c>
      <c r="AE55" s="6">
        <f t="shared" ca="1" si="12"/>
        <v>0</v>
      </c>
      <c r="AF55" t="str">
        <f t="shared" ca="1" si="16"/>
        <v>"1"</v>
      </c>
      <c r="AG55" t="str">
        <f t="shared" ca="1" si="16"/>
        <v>"1001.X710.X"</v>
      </c>
      <c r="AH55" s="14">
        <f t="shared" ca="1" si="13"/>
        <v>42277</v>
      </c>
      <c r="AI55" s="6" t="s">
        <v>45</v>
      </c>
      <c r="AJ55" t="str">
        <f t="shared" ca="1" si="6"/>
        <v>""</v>
      </c>
      <c r="AK55" t="str">
        <f t="shared" ca="1" si="6"/>
        <v>""</v>
      </c>
      <c r="AL55" t="str">
        <f t="shared" ca="1" si="6"/>
        <v>"P20"</v>
      </c>
      <c r="AM55" t="s">
        <v>66</v>
      </c>
      <c r="AN55" t="s">
        <v>66</v>
      </c>
      <c r="AO55" s="7" t="s">
        <v>50</v>
      </c>
      <c r="AP55" s="12" t="s">
        <v>58</v>
      </c>
    </row>
    <row r="56" spans="1:42" x14ac:dyDescent="0.3">
      <c r="A56" s="7" t="s">
        <v>63</v>
      </c>
      <c r="B56" s="7" t="s">
        <v>64</v>
      </c>
      <c r="C56" s="7" t="s">
        <v>50</v>
      </c>
      <c r="D56" t="str">
        <f t="shared" ca="1" si="0"/>
        <v>""</v>
      </c>
      <c r="E56" s="14">
        <f t="shared" ca="1" si="7"/>
        <v>0</v>
      </c>
      <c r="F56" s="6">
        <f t="shared" ca="1" si="8"/>
        <v>0</v>
      </c>
      <c r="G56" t="s">
        <v>65</v>
      </c>
      <c r="H56" t="str">
        <f t="shared" ca="1" si="1"/>
        <v>""</v>
      </c>
      <c r="I56" s="9">
        <f t="shared" ca="1" si="9"/>
        <v>0</v>
      </c>
      <c r="J56" s="14">
        <f t="shared" ca="1" si="10"/>
        <v>0</v>
      </c>
      <c r="K56" s="14">
        <f t="shared" ca="1" si="10"/>
        <v>0</v>
      </c>
      <c r="L56" s="9">
        <v>0</v>
      </c>
      <c r="M56" t="str">
        <f ca="1">Quotes&amp;Format!N60&amp;UPPER(INDIRECT(M$1,TRUE))&amp;Quotes</f>
        <v>""</v>
      </c>
      <c r="N56" t="str">
        <f t="shared" ca="1" si="2"/>
        <v>","</v>
      </c>
      <c r="O56" t="s">
        <v>66</v>
      </c>
      <c r="P56" t="str">
        <f t="shared" ca="1" si="14"/>
        <v>""</v>
      </c>
      <c r="Q56" t="str">
        <f t="shared" ca="1" si="14"/>
        <v>""</v>
      </c>
      <c r="R56" t="str">
        <f t="shared" ca="1" si="14"/>
        <v>""</v>
      </c>
      <c r="S56" t="str">
        <f t="shared" ca="1" si="14"/>
        <v>""</v>
      </c>
      <c r="T56" t="s">
        <v>66</v>
      </c>
      <c r="U56" s="11" t="s">
        <v>50</v>
      </c>
      <c r="V56" s="7" t="s">
        <v>67</v>
      </c>
      <c r="W56" s="11" t="s">
        <v>50</v>
      </c>
      <c r="X56" t="str">
        <f t="shared" ca="1" si="4"/>
        <v>"P20"</v>
      </c>
      <c r="Y56" s="9">
        <f t="shared" ca="1" si="11"/>
        <v>0</v>
      </c>
      <c r="Z56" s="9">
        <f t="shared" ca="1" si="11"/>
        <v>0</v>
      </c>
      <c r="AA56" s="6" t="s">
        <v>45</v>
      </c>
      <c r="AB56" s="13" t="s">
        <v>50</v>
      </c>
      <c r="AC56" s="7" t="s">
        <v>68</v>
      </c>
      <c r="AD56" s="13" t="s">
        <v>50</v>
      </c>
      <c r="AE56" s="6">
        <f t="shared" ca="1" si="12"/>
        <v>0</v>
      </c>
      <c r="AF56" t="str">
        <f t="shared" ca="1" si="16"/>
        <v>"1"</v>
      </c>
      <c r="AG56" t="str">
        <f t="shared" ca="1" si="16"/>
        <v>"1001.X710.X"</v>
      </c>
      <c r="AH56" s="14">
        <f t="shared" ca="1" si="13"/>
        <v>42277</v>
      </c>
      <c r="AI56" s="6" t="s">
        <v>45</v>
      </c>
      <c r="AJ56" t="str">
        <f t="shared" ca="1" si="6"/>
        <v>""</v>
      </c>
      <c r="AK56" t="str">
        <f t="shared" ca="1" si="6"/>
        <v>""</v>
      </c>
      <c r="AL56" t="str">
        <f t="shared" ca="1" si="6"/>
        <v>"P20"</v>
      </c>
      <c r="AM56" t="s">
        <v>66</v>
      </c>
      <c r="AN56" t="s">
        <v>66</v>
      </c>
      <c r="AO56" s="7" t="s">
        <v>50</v>
      </c>
      <c r="AP56" s="12" t="s">
        <v>58</v>
      </c>
    </row>
    <row r="57" spans="1:42" x14ac:dyDescent="0.3">
      <c r="A57" s="7" t="s">
        <v>63</v>
      </c>
      <c r="B57" s="7" t="s">
        <v>64</v>
      </c>
      <c r="C57" s="7" t="s">
        <v>50</v>
      </c>
      <c r="D57" t="str">
        <f t="shared" ca="1" si="0"/>
        <v>""</v>
      </c>
      <c r="E57" s="14">
        <f t="shared" ca="1" si="7"/>
        <v>0</v>
      </c>
      <c r="F57" s="6">
        <f t="shared" ca="1" si="8"/>
        <v>0</v>
      </c>
      <c r="G57" t="s">
        <v>65</v>
      </c>
      <c r="H57" t="str">
        <f t="shared" ca="1" si="1"/>
        <v>""</v>
      </c>
      <c r="I57" s="9">
        <f t="shared" ca="1" si="9"/>
        <v>0</v>
      </c>
      <c r="J57" s="14">
        <f t="shared" ca="1" si="10"/>
        <v>0</v>
      </c>
      <c r="K57" s="14">
        <f t="shared" ca="1" si="10"/>
        <v>0</v>
      </c>
      <c r="L57" s="9">
        <v>0</v>
      </c>
      <c r="M57" t="str">
        <f ca="1">Quotes&amp;Format!N61&amp;UPPER(INDIRECT(M$1,TRUE))&amp;Quotes</f>
        <v>""</v>
      </c>
      <c r="N57" t="str">
        <f t="shared" ca="1" si="2"/>
        <v>","</v>
      </c>
      <c r="O57" t="s">
        <v>66</v>
      </c>
      <c r="P57" t="str">
        <f t="shared" ca="1" si="14"/>
        <v>""</v>
      </c>
      <c r="Q57" t="str">
        <f t="shared" ca="1" si="14"/>
        <v>""</v>
      </c>
      <c r="R57" t="str">
        <f t="shared" ca="1" si="14"/>
        <v>""</v>
      </c>
      <c r="S57" t="str">
        <f t="shared" ca="1" si="14"/>
        <v>""</v>
      </c>
      <c r="T57" t="s">
        <v>66</v>
      </c>
      <c r="U57" s="11" t="s">
        <v>50</v>
      </c>
      <c r="V57" s="7" t="s">
        <v>67</v>
      </c>
      <c r="W57" s="11" t="s">
        <v>50</v>
      </c>
      <c r="X57" t="str">
        <f t="shared" ca="1" si="4"/>
        <v>"P20"</v>
      </c>
      <c r="Y57" s="9">
        <f t="shared" ca="1" si="11"/>
        <v>0</v>
      </c>
      <c r="Z57" s="9">
        <f t="shared" ca="1" si="11"/>
        <v>0</v>
      </c>
      <c r="AA57" s="6" t="s">
        <v>45</v>
      </c>
      <c r="AB57" s="13" t="s">
        <v>50</v>
      </c>
      <c r="AC57" s="7" t="s">
        <v>68</v>
      </c>
      <c r="AD57" s="13" t="s">
        <v>50</v>
      </c>
      <c r="AE57" s="6">
        <f t="shared" ca="1" si="12"/>
        <v>0</v>
      </c>
      <c r="AF57" t="str">
        <f t="shared" ca="1" si="16"/>
        <v>"1"</v>
      </c>
      <c r="AG57" t="str">
        <f t="shared" ca="1" si="16"/>
        <v>"1001.X710.X"</v>
      </c>
      <c r="AH57" s="14">
        <f t="shared" ca="1" si="13"/>
        <v>42277</v>
      </c>
      <c r="AI57" s="6" t="s">
        <v>45</v>
      </c>
      <c r="AJ57" t="str">
        <f t="shared" ca="1" si="6"/>
        <v>""</v>
      </c>
      <c r="AK57" t="str">
        <f t="shared" ca="1" si="6"/>
        <v>""</v>
      </c>
      <c r="AL57" t="str">
        <f t="shared" ca="1" si="6"/>
        <v>"P20"</v>
      </c>
      <c r="AM57" t="s">
        <v>66</v>
      </c>
      <c r="AN57" t="s">
        <v>66</v>
      </c>
      <c r="AO57" s="7" t="s">
        <v>50</v>
      </c>
      <c r="AP57" s="12" t="s">
        <v>58</v>
      </c>
    </row>
    <row r="58" spans="1:42" x14ac:dyDescent="0.3">
      <c r="A58" s="7" t="s">
        <v>63</v>
      </c>
      <c r="B58" s="7" t="s">
        <v>64</v>
      </c>
      <c r="C58" s="7" t="s">
        <v>50</v>
      </c>
      <c r="D58" t="str">
        <f t="shared" ca="1" si="0"/>
        <v>""</v>
      </c>
      <c r="E58" s="14">
        <f t="shared" ca="1" si="7"/>
        <v>0</v>
      </c>
      <c r="F58" s="6">
        <f t="shared" ca="1" si="8"/>
        <v>0</v>
      </c>
      <c r="G58" t="s">
        <v>65</v>
      </c>
      <c r="H58" t="str">
        <f t="shared" ca="1" si="1"/>
        <v>""</v>
      </c>
      <c r="I58" s="9">
        <f t="shared" ca="1" si="9"/>
        <v>0</v>
      </c>
      <c r="J58" s="14">
        <f t="shared" ca="1" si="10"/>
        <v>0</v>
      </c>
      <c r="K58" s="14">
        <f t="shared" ca="1" si="10"/>
        <v>0</v>
      </c>
      <c r="L58" s="9">
        <v>0</v>
      </c>
      <c r="M58" t="str">
        <f ca="1">Quotes&amp;Format!N62&amp;UPPER(INDIRECT(M$1,TRUE))&amp;Quotes</f>
        <v>""</v>
      </c>
      <c r="N58" t="str">
        <f t="shared" ca="1" si="2"/>
        <v>","</v>
      </c>
      <c r="O58" t="s">
        <v>66</v>
      </c>
      <c r="P58" t="str">
        <f t="shared" ca="1" si="14"/>
        <v>""</v>
      </c>
      <c r="Q58" t="str">
        <f t="shared" ca="1" si="14"/>
        <v>""</v>
      </c>
      <c r="R58" t="str">
        <f t="shared" ca="1" si="14"/>
        <v>""</v>
      </c>
      <c r="S58" t="str">
        <f t="shared" ca="1" si="14"/>
        <v>""</v>
      </c>
      <c r="T58" t="s">
        <v>66</v>
      </c>
      <c r="U58" s="11" t="s">
        <v>50</v>
      </c>
      <c r="V58" s="7" t="s">
        <v>67</v>
      </c>
      <c r="W58" s="11" t="s">
        <v>50</v>
      </c>
      <c r="X58" t="str">
        <f t="shared" ca="1" si="4"/>
        <v>"P20"</v>
      </c>
      <c r="Y58" s="9">
        <f t="shared" ca="1" si="11"/>
        <v>0</v>
      </c>
      <c r="Z58" s="9">
        <f t="shared" ca="1" si="11"/>
        <v>0</v>
      </c>
      <c r="AA58" s="6" t="s">
        <v>45</v>
      </c>
      <c r="AB58" s="13" t="s">
        <v>50</v>
      </c>
      <c r="AC58" s="7" t="s">
        <v>68</v>
      </c>
      <c r="AD58" s="13" t="s">
        <v>50</v>
      </c>
      <c r="AE58" s="6">
        <f t="shared" ca="1" si="12"/>
        <v>0</v>
      </c>
      <c r="AF58" t="str">
        <f t="shared" ca="1" si="16"/>
        <v>"1"</v>
      </c>
      <c r="AG58" t="str">
        <f t="shared" ca="1" si="16"/>
        <v>"1001.X710.X"</v>
      </c>
      <c r="AH58" s="14">
        <f t="shared" ca="1" si="13"/>
        <v>42277</v>
      </c>
      <c r="AI58" s="6" t="s">
        <v>45</v>
      </c>
      <c r="AJ58" t="str">
        <f t="shared" ca="1" si="6"/>
        <v>""</v>
      </c>
      <c r="AK58" t="str">
        <f t="shared" ca="1" si="6"/>
        <v>""</v>
      </c>
      <c r="AL58" t="str">
        <f t="shared" ca="1" si="6"/>
        <v>"P20"</v>
      </c>
      <c r="AM58" t="s">
        <v>66</v>
      </c>
      <c r="AN58" t="s">
        <v>66</v>
      </c>
      <c r="AO58" s="7" t="s">
        <v>50</v>
      </c>
      <c r="AP58" s="12" t="s">
        <v>58</v>
      </c>
    </row>
    <row r="59" spans="1:42" x14ac:dyDescent="0.3">
      <c r="A59" s="7" t="s">
        <v>63</v>
      </c>
      <c r="B59" s="7" t="s">
        <v>64</v>
      </c>
      <c r="C59" s="7" t="s">
        <v>50</v>
      </c>
      <c r="D59" t="str">
        <f t="shared" ca="1" si="0"/>
        <v>""</v>
      </c>
      <c r="E59" s="14">
        <f t="shared" ca="1" si="7"/>
        <v>0</v>
      </c>
      <c r="F59" s="6">
        <f t="shared" ca="1" si="8"/>
        <v>0</v>
      </c>
      <c r="G59" t="s">
        <v>65</v>
      </c>
      <c r="H59" t="str">
        <f t="shared" ca="1" si="1"/>
        <v>""</v>
      </c>
      <c r="I59" s="9">
        <f t="shared" ca="1" si="9"/>
        <v>0</v>
      </c>
      <c r="J59" s="14">
        <f t="shared" ca="1" si="10"/>
        <v>0</v>
      </c>
      <c r="K59" s="14">
        <f t="shared" ca="1" si="10"/>
        <v>0</v>
      </c>
      <c r="L59" s="9">
        <v>0</v>
      </c>
      <c r="M59" t="str">
        <f ca="1">Quotes&amp;Format!N63&amp;UPPER(INDIRECT(M$1,TRUE))&amp;Quotes</f>
        <v>""</v>
      </c>
      <c r="N59" t="str">
        <f t="shared" ca="1" si="2"/>
        <v>","</v>
      </c>
      <c r="O59" t="s">
        <v>66</v>
      </c>
      <c r="P59" t="str">
        <f t="shared" ca="1" si="14"/>
        <v>""</v>
      </c>
      <c r="Q59" t="str">
        <f t="shared" ca="1" si="14"/>
        <v>""</v>
      </c>
      <c r="R59" t="str">
        <f t="shared" ca="1" si="14"/>
        <v>""</v>
      </c>
      <c r="S59" t="str">
        <f t="shared" ca="1" si="14"/>
        <v>""</v>
      </c>
      <c r="T59" t="s">
        <v>66</v>
      </c>
      <c r="U59" s="11" t="s">
        <v>50</v>
      </c>
      <c r="V59" s="7" t="s">
        <v>67</v>
      </c>
      <c r="W59" s="11" t="s">
        <v>50</v>
      </c>
      <c r="X59" t="str">
        <f t="shared" ca="1" si="4"/>
        <v>"P20"</v>
      </c>
      <c r="Y59" s="9">
        <f t="shared" ca="1" si="11"/>
        <v>0</v>
      </c>
      <c r="Z59" s="9">
        <f t="shared" ca="1" si="11"/>
        <v>0</v>
      </c>
      <c r="AA59" s="6" t="s">
        <v>45</v>
      </c>
      <c r="AB59" s="13" t="s">
        <v>50</v>
      </c>
      <c r="AC59" s="7" t="s">
        <v>68</v>
      </c>
      <c r="AD59" s="13" t="s">
        <v>50</v>
      </c>
      <c r="AE59" s="6">
        <f t="shared" ca="1" si="12"/>
        <v>0</v>
      </c>
      <c r="AF59" t="str">
        <f t="shared" ca="1" si="16"/>
        <v>"1"</v>
      </c>
      <c r="AG59" t="str">
        <f t="shared" ca="1" si="16"/>
        <v>"1001.X710.X"</v>
      </c>
      <c r="AH59" s="14">
        <f t="shared" ca="1" si="13"/>
        <v>42277</v>
      </c>
      <c r="AI59" s="6" t="s">
        <v>45</v>
      </c>
      <c r="AJ59" t="str">
        <f t="shared" ca="1" si="6"/>
        <v>""</v>
      </c>
      <c r="AK59" t="str">
        <f t="shared" ca="1" si="6"/>
        <v>""</v>
      </c>
      <c r="AL59" t="str">
        <f t="shared" ca="1" si="6"/>
        <v>"P20"</v>
      </c>
      <c r="AM59" t="s">
        <v>66</v>
      </c>
      <c r="AN59" t="s">
        <v>66</v>
      </c>
      <c r="AO59" s="7" t="s">
        <v>50</v>
      </c>
      <c r="AP59" s="12" t="s">
        <v>58</v>
      </c>
    </row>
    <row r="60" spans="1:42" x14ac:dyDescent="0.3">
      <c r="A60" s="7" t="s">
        <v>63</v>
      </c>
      <c r="B60" s="7" t="s">
        <v>64</v>
      </c>
      <c r="C60" s="7" t="s">
        <v>50</v>
      </c>
      <c r="D60" t="str">
        <f t="shared" ca="1" si="0"/>
        <v>""</v>
      </c>
      <c r="E60" s="14">
        <f t="shared" ca="1" si="7"/>
        <v>0</v>
      </c>
      <c r="F60" s="6">
        <f t="shared" ca="1" si="8"/>
        <v>0</v>
      </c>
      <c r="G60" t="s">
        <v>65</v>
      </c>
      <c r="H60" t="str">
        <f t="shared" ca="1" si="1"/>
        <v>""</v>
      </c>
      <c r="I60" s="9">
        <f t="shared" ca="1" si="9"/>
        <v>0</v>
      </c>
      <c r="J60" s="14">
        <f t="shared" ca="1" si="10"/>
        <v>0</v>
      </c>
      <c r="K60" s="14">
        <f t="shared" ca="1" si="10"/>
        <v>0</v>
      </c>
      <c r="L60" s="9">
        <v>0</v>
      </c>
      <c r="M60" t="str">
        <f ca="1">Quotes&amp;Format!N64&amp;UPPER(INDIRECT(M$1,TRUE))&amp;Quotes</f>
        <v>""</v>
      </c>
      <c r="N60" t="str">
        <f t="shared" ca="1" si="2"/>
        <v>","</v>
      </c>
      <c r="O60" t="s">
        <v>66</v>
      </c>
      <c r="P60" t="str">
        <f t="shared" ca="1" si="14"/>
        <v>""</v>
      </c>
      <c r="Q60" t="str">
        <f t="shared" ca="1" si="14"/>
        <v>""</v>
      </c>
      <c r="R60" t="str">
        <f t="shared" ca="1" si="14"/>
        <v>""</v>
      </c>
      <c r="S60" t="str">
        <f t="shared" ca="1" si="14"/>
        <v>""</v>
      </c>
      <c r="T60" t="s">
        <v>66</v>
      </c>
      <c r="U60" s="11" t="s">
        <v>50</v>
      </c>
      <c r="V60" s="7" t="s">
        <v>67</v>
      </c>
      <c r="W60" s="11" t="s">
        <v>50</v>
      </c>
      <c r="X60" t="str">
        <f t="shared" ca="1" si="4"/>
        <v>"P20"</v>
      </c>
      <c r="Y60" s="9">
        <f t="shared" ca="1" si="11"/>
        <v>0</v>
      </c>
      <c r="Z60" s="9">
        <f t="shared" ca="1" si="11"/>
        <v>0</v>
      </c>
      <c r="AA60" s="6" t="s">
        <v>45</v>
      </c>
      <c r="AB60" s="13" t="s">
        <v>50</v>
      </c>
      <c r="AC60" s="7" t="s">
        <v>68</v>
      </c>
      <c r="AD60" s="13" t="s">
        <v>50</v>
      </c>
      <c r="AE60" s="6">
        <f t="shared" ca="1" si="12"/>
        <v>0</v>
      </c>
      <c r="AF60" t="str">
        <f t="shared" ca="1" si="16"/>
        <v>"1"</v>
      </c>
      <c r="AG60" t="str">
        <f t="shared" ca="1" si="16"/>
        <v>"1001.X710.X"</v>
      </c>
      <c r="AH60" s="14">
        <f t="shared" ca="1" si="13"/>
        <v>42277</v>
      </c>
      <c r="AI60" s="6" t="s">
        <v>45</v>
      </c>
      <c r="AJ60" t="str">
        <f t="shared" ca="1" si="6"/>
        <v>""</v>
      </c>
      <c r="AK60" t="str">
        <f t="shared" ca="1" si="6"/>
        <v>""</v>
      </c>
      <c r="AL60" t="str">
        <f t="shared" ca="1" si="6"/>
        <v>"P20"</v>
      </c>
      <c r="AM60" t="s">
        <v>66</v>
      </c>
      <c r="AN60" t="s">
        <v>66</v>
      </c>
      <c r="AO60" s="7" t="s">
        <v>50</v>
      </c>
      <c r="AP60" s="12" t="s">
        <v>58</v>
      </c>
    </row>
    <row r="61" spans="1:42" x14ac:dyDescent="0.3">
      <c r="A61" s="7" t="s">
        <v>63</v>
      </c>
      <c r="B61" s="7" t="s">
        <v>64</v>
      </c>
      <c r="C61" s="7" t="s">
        <v>50</v>
      </c>
      <c r="D61" t="str">
        <f t="shared" ca="1" si="0"/>
        <v>""</v>
      </c>
      <c r="E61" s="14">
        <f t="shared" ca="1" si="7"/>
        <v>0</v>
      </c>
      <c r="F61" s="6">
        <f t="shared" ca="1" si="8"/>
        <v>0</v>
      </c>
      <c r="G61" t="s">
        <v>65</v>
      </c>
      <c r="H61" t="str">
        <f t="shared" ca="1" si="1"/>
        <v>""</v>
      </c>
      <c r="I61" s="9">
        <f t="shared" ca="1" si="9"/>
        <v>0</v>
      </c>
      <c r="J61" s="14">
        <f t="shared" ca="1" si="10"/>
        <v>0</v>
      </c>
      <c r="K61" s="14">
        <f t="shared" ca="1" si="10"/>
        <v>0</v>
      </c>
      <c r="L61" s="9">
        <v>0</v>
      </c>
      <c r="M61" t="str">
        <f ca="1">Quotes&amp;Format!N65&amp;UPPER(INDIRECT(M$1,TRUE))&amp;Quotes</f>
        <v>""</v>
      </c>
      <c r="N61" t="str">
        <f t="shared" ca="1" si="2"/>
        <v>","</v>
      </c>
      <c r="O61" t="s">
        <v>66</v>
      </c>
      <c r="P61" t="str">
        <f t="shared" ca="1" si="14"/>
        <v>""</v>
      </c>
      <c r="Q61" t="str">
        <f t="shared" ca="1" si="14"/>
        <v>""</v>
      </c>
      <c r="R61" t="str">
        <f t="shared" ca="1" si="14"/>
        <v>""</v>
      </c>
      <c r="S61" t="str">
        <f t="shared" ca="1" si="14"/>
        <v>""</v>
      </c>
      <c r="T61" t="s">
        <v>66</v>
      </c>
      <c r="U61" s="11" t="s">
        <v>50</v>
      </c>
      <c r="V61" s="7" t="s">
        <v>67</v>
      </c>
      <c r="W61" s="11" t="s">
        <v>50</v>
      </c>
      <c r="X61" t="str">
        <f t="shared" ca="1" si="4"/>
        <v>"P20"</v>
      </c>
      <c r="Y61" s="9">
        <f t="shared" ca="1" si="11"/>
        <v>0</v>
      </c>
      <c r="Z61" s="9">
        <f t="shared" ca="1" si="11"/>
        <v>0</v>
      </c>
      <c r="AA61" s="6" t="s">
        <v>45</v>
      </c>
      <c r="AB61" s="13" t="s">
        <v>50</v>
      </c>
      <c r="AC61" s="7" t="s">
        <v>68</v>
      </c>
      <c r="AD61" s="13" t="s">
        <v>50</v>
      </c>
      <c r="AE61" s="6">
        <f t="shared" ca="1" si="12"/>
        <v>0</v>
      </c>
      <c r="AF61" t="str">
        <f t="shared" ca="1" si="16"/>
        <v>"1"</v>
      </c>
      <c r="AG61" t="str">
        <f t="shared" ca="1" si="16"/>
        <v>"1001.X710.X"</v>
      </c>
      <c r="AH61" s="14">
        <f t="shared" ca="1" si="13"/>
        <v>42277</v>
      </c>
      <c r="AI61" s="6" t="s">
        <v>45</v>
      </c>
      <c r="AJ61" t="str">
        <f t="shared" ca="1" si="6"/>
        <v>""</v>
      </c>
      <c r="AK61" t="str">
        <f t="shared" ca="1" si="6"/>
        <v>""</v>
      </c>
      <c r="AL61" t="str">
        <f t="shared" ca="1" si="6"/>
        <v>"P20"</v>
      </c>
      <c r="AM61" t="s">
        <v>66</v>
      </c>
      <c r="AN61" t="s">
        <v>66</v>
      </c>
      <c r="AO61" s="7" t="s">
        <v>50</v>
      </c>
      <c r="AP61" s="12" t="s">
        <v>58</v>
      </c>
    </row>
    <row r="62" spans="1:42" x14ac:dyDescent="0.3">
      <c r="A62" s="7" t="s">
        <v>63</v>
      </c>
      <c r="B62" s="7" t="s">
        <v>64</v>
      </c>
      <c r="C62" s="7" t="s">
        <v>50</v>
      </c>
      <c r="D62" t="str">
        <f t="shared" ca="1" si="0"/>
        <v>""</v>
      </c>
      <c r="E62" s="14">
        <f t="shared" ca="1" si="7"/>
        <v>0</v>
      </c>
      <c r="F62" s="6">
        <f t="shared" ca="1" si="8"/>
        <v>0</v>
      </c>
      <c r="G62" t="s">
        <v>65</v>
      </c>
      <c r="H62" t="str">
        <f t="shared" ca="1" si="1"/>
        <v>""</v>
      </c>
      <c r="I62" s="9">
        <f t="shared" ca="1" si="9"/>
        <v>0</v>
      </c>
      <c r="J62" s="14">
        <f t="shared" ca="1" si="10"/>
        <v>0</v>
      </c>
      <c r="K62" s="14">
        <f t="shared" ca="1" si="10"/>
        <v>0</v>
      </c>
      <c r="L62" s="9">
        <v>0</v>
      </c>
      <c r="M62" t="str">
        <f ca="1">Quotes&amp;Format!N66&amp;UPPER(INDIRECT(M$1,TRUE))&amp;Quotes</f>
        <v>""</v>
      </c>
      <c r="N62" t="str">
        <f t="shared" ca="1" si="2"/>
        <v>","</v>
      </c>
      <c r="O62" t="s">
        <v>66</v>
      </c>
      <c r="P62" t="str">
        <f t="shared" ca="1" si="14"/>
        <v>""</v>
      </c>
      <c r="Q62" t="str">
        <f t="shared" ca="1" si="14"/>
        <v>""</v>
      </c>
      <c r="R62" t="str">
        <f t="shared" ca="1" si="14"/>
        <v>""</v>
      </c>
      <c r="S62" t="str">
        <f t="shared" ca="1" si="14"/>
        <v>""</v>
      </c>
      <c r="T62" t="s">
        <v>66</v>
      </c>
      <c r="U62" s="11" t="s">
        <v>50</v>
      </c>
      <c r="V62" s="7" t="s">
        <v>67</v>
      </c>
      <c r="W62" s="11" t="s">
        <v>50</v>
      </c>
      <c r="X62" t="str">
        <f t="shared" ca="1" si="4"/>
        <v>"P20"</v>
      </c>
      <c r="Y62" s="9">
        <f t="shared" ca="1" si="11"/>
        <v>0</v>
      </c>
      <c r="Z62" s="9">
        <f t="shared" ca="1" si="11"/>
        <v>0</v>
      </c>
      <c r="AA62" s="6" t="s">
        <v>45</v>
      </c>
      <c r="AB62" s="13" t="s">
        <v>50</v>
      </c>
      <c r="AC62" s="7" t="s">
        <v>68</v>
      </c>
      <c r="AD62" s="13" t="s">
        <v>50</v>
      </c>
      <c r="AE62" s="6">
        <f t="shared" ca="1" si="12"/>
        <v>0</v>
      </c>
      <c r="AF62" t="str">
        <f t="shared" ca="1" si="16"/>
        <v>"1"</v>
      </c>
      <c r="AG62" t="str">
        <f t="shared" ca="1" si="16"/>
        <v>"1001.X710.X"</v>
      </c>
      <c r="AH62" s="14">
        <f t="shared" ca="1" si="13"/>
        <v>42277</v>
      </c>
      <c r="AI62" s="6" t="s">
        <v>45</v>
      </c>
      <c r="AJ62" t="str">
        <f t="shared" ca="1" si="6"/>
        <v>""</v>
      </c>
      <c r="AK62" t="str">
        <f t="shared" ca="1" si="6"/>
        <v>""</v>
      </c>
      <c r="AL62" t="str">
        <f t="shared" ca="1" si="6"/>
        <v>"P20"</v>
      </c>
      <c r="AM62" t="s">
        <v>66</v>
      </c>
      <c r="AN62" t="s">
        <v>66</v>
      </c>
      <c r="AO62" s="7" t="s">
        <v>50</v>
      </c>
      <c r="AP62" s="12" t="s">
        <v>58</v>
      </c>
    </row>
    <row r="63" spans="1:42" x14ac:dyDescent="0.3">
      <c r="A63" s="7" t="s">
        <v>63</v>
      </c>
      <c r="B63" s="7" t="s">
        <v>64</v>
      </c>
      <c r="C63" s="7" t="s">
        <v>50</v>
      </c>
      <c r="D63" t="str">
        <f t="shared" ca="1" si="0"/>
        <v>""</v>
      </c>
      <c r="E63" s="14">
        <f t="shared" ca="1" si="7"/>
        <v>0</v>
      </c>
      <c r="F63" s="6">
        <f t="shared" ca="1" si="8"/>
        <v>0</v>
      </c>
      <c r="G63" t="s">
        <v>65</v>
      </c>
      <c r="H63" t="str">
        <f t="shared" ca="1" si="1"/>
        <v>""</v>
      </c>
      <c r="I63" s="9">
        <f t="shared" ca="1" si="9"/>
        <v>0</v>
      </c>
      <c r="J63" s="14">
        <f t="shared" ca="1" si="10"/>
        <v>0</v>
      </c>
      <c r="K63" s="14">
        <f t="shared" ca="1" si="10"/>
        <v>0</v>
      </c>
      <c r="L63" s="9">
        <v>0</v>
      </c>
      <c r="M63" t="str">
        <f ca="1">Quotes&amp;Format!N67&amp;UPPER(INDIRECT(M$1,TRUE))&amp;Quotes</f>
        <v>""</v>
      </c>
      <c r="N63" t="str">
        <f t="shared" ca="1" si="2"/>
        <v>","</v>
      </c>
      <c r="O63" t="s">
        <v>66</v>
      </c>
      <c r="P63" t="str">
        <f t="shared" ca="1" si="14"/>
        <v>""</v>
      </c>
      <c r="Q63" t="str">
        <f t="shared" ca="1" si="14"/>
        <v>""</v>
      </c>
      <c r="R63" t="str">
        <f t="shared" ca="1" si="14"/>
        <v>""</v>
      </c>
      <c r="S63" t="str">
        <f t="shared" ca="1" si="14"/>
        <v>""</v>
      </c>
      <c r="T63" t="s">
        <v>66</v>
      </c>
      <c r="U63" s="11" t="s">
        <v>50</v>
      </c>
      <c r="V63" s="7" t="s">
        <v>67</v>
      </c>
      <c r="W63" s="11" t="s">
        <v>50</v>
      </c>
      <c r="X63" t="str">
        <f t="shared" ca="1" si="4"/>
        <v>"P20"</v>
      </c>
      <c r="Y63" s="9">
        <f t="shared" ca="1" si="11"/>
        <v>0</v>
      </c>
      <c r="Z63" s="9">
        <f t="shared" ca="1" si="11"/>
        <v>0</v>
      </c>
      <c r="AA63" s="6" t="s">
        <v>45</v>
      </c>
      <c r="AB63" s="13" t="s">
        <v>50</v>
      </c>
      <c r="AC63" s="7" t="s">
        <v>68</v>
      </c>
      <c r="AD63" s="13" t="s">
        <v>50</v>
      </c>
      <c r="AE63" s="6">
        <f t="shared" ca="1" si="12"/>
        <v>0</v>
      </c>
      <c r="AF63" t="str">
        <f t="shared" ca="1" si="16"/>
        <v>"1"</v>
      </c>
      <c r="AG63" t="str">
        <f t="shared" ca="1" si="16"/>
        <v>"1001.X710.X"</v>
      </c>
      <c r="AH63" s="14">
        <f t="shared" ca="1" si="13"/>
        <v>42277</v>
      </c>
      <c r="AI63" s="6" t="s">
        <v>45</v>
      </c>
      <c r="AJ63" t="str">
        <f t="shared" ca="1" si="6"/>
        <v>""</v>
      </c>
      <c r="AK63" t="str">
        <f t="shared" ca="1" si="6"/>
        <v>""</v>
      </c>
      <c r="AL63" t="str">
        <f t="shared" ca="1" si="6"/>
        <v>"P20"</v>
      </c>
      <c r="AM63" t="s">
        <v>66</v>
      </c>
      <c r="AN63" t="s">
        <v>66</v>
      </c>
      <c r="AO63" s="7" t="s">
        <v>50</v>
      </c>
      <c r="AP63" s="12" t="s">
        <v>58</v>
      </c>
    </row>
    <row r="64" spans="1:42" x14ac:dyDescent="0.3">
      <c r="A64" s="7" t="s">
        <v>63</v>
      </c>
      <c r="B64" s="7" t="s">
        <v>64</v>
      </c>
      <c r="C64" s="7" t="s">
        <v>50</v>
      </c>
      <c r="D64" t="str">
        <f t="shared" ca="1" si="0"/>
        <v>""</v>
      </c>
      <c r="E64" s="14">
        <f t="shared" ca="1" si="7"/>
        <v>0</v>
      </c>
      <c r="F64" s="6">
        <f t="shared" ca="1" si="8"/>
        <v>0</v>
      </c>
      <c r="G64" t="s">
        <v>65</v>
      </c>
      <c r="H64" t="str">
        <f t="shared" ca="1" si="1"/>
        <v>""</v>
      </c>
      <c r="I64" s="9">
        <f t="shared" ca="1" si="9"/>
        <v>0</v>
      </c>
      <c r="J64" s="14">
        <f t="shared" ca="1" si="10"/>
        <v>0</v>
      </c>
      <c r="K64" s="14">
        <f t="shared" ca="1" si="10"/>
        <v>0</v>
      </c>
      <c r="L64" s="9">
        <v>0</v>
      </c>
      <c r="M64" t="str">
        <f ca="1">Quotes&amp;Format!N68&amp;UPPER(INDIRECT(M$1,TRUE))&amp;Quotes</f>
        <v>""</v>
      </c>
      <c r="N64" t="str">
        <f t="shared" ca="1" si="2"/>
        <v>","</v>
      </c>
      <c r="O64" t="s">
        <v>66</v>
      </c>
      <c r="P64" t="str">
        <f t="shared" ca="1" si="14"/>
        <v>""</v>
      </c>
      <c r="Q64" t="str">
        <f t="shared" ca="1" si="14"/>
        <v>""</v>
      </c>
      <c r="R64" t="str">
        <f t="shared" ca="1" si="14"/>
        <v>""</v>
      </c>
      <c r="S64" t="str">
        <f t="shared" ca="1" si="14"/>
        <v>""</v>
      </c>
      <c r="T64" t="s">
        <v>66</v>
      </c>
      <c r="U64" s="11" t="s">
        <v>50</v>
      </c>
      <c r="V64" s="7" t="s">
        <v>67</v>
      </c>
      <c r="W64" s="11" t="s">
        <v>50</v>
      </c>
      <c r="X64" t="str">
        <f t="shared" ca="1" si="4"/>
        <v>"P20"</v>
      </c>
      <c r="Y64" s="9">
        <f t="shared" ca="1" si="11"/>
        <v>0</v>
      </c>
      <c r="Z64" s="9">
        <f t="shared" ca="1" si="11"/>
        <v>0</v>
      </c>
      <c r="AA64" s="6" t="s">
        <v>45</v>
      </c>
      <c r="AB64" s="13" t="s">
        <v>50</v>
      </c>
      <c r="AC64" s="7" t="s">
        <v>68</v>
      </c>
      <c r="AD64" s="13" t="s">
        <v>50</v>
      </c>
      <c r="AE64" s="6">
        <f t="shared" ca="1" si="12"/>
        <v>0</v>
      </c>
      <c r="AF64" t="str">
        <f t="shared" ref="AF64:AG83" ca="1" si="17">Quotes&amp;IF(INDIRECT(AF$1,TRUE)="","""",UPPER(INDIRECT(AF$1,TRUE))&amp;Quotes)</f>
        <v>"1"</v>
      </c>
      <c r="AG64" t="str">
        <f t="shared" ca="1" si="17"/>
        <v>"1001.X710.X"</v>
      </c>
      <c r="AH64" s="14">
        <f t="shared" ca="1" si="13"/>
        <v>42277</v>
      </c>
      <c r="AI64" s="6" t="s">
        <v>45</v>
      </c>
      <c r="AJ64" t="str">
        <f t="shared" ca="1" si="6"/>
        <v>""</v>
      </c>
      <c r="AK64" t="str">
        <f t="shared" ca="1" si="6"/>
        <v>""</v>
      </c>
      <c r="AL64" t="str">
        <f t="shared" ca="1" si="6"/>
        <v>"P20"</v>
      </c>
      <c r="AM64" t="s">
        <v>66</v>
      </c>
      <c r="AN64" t="s">
        <v>66</v>
      </c>
      <c r="AO64" s="7" t="s">
        <v>50</v>
      </c>
      <c r="AP64" s="12" t="s">
        <v>58</v>
      </c>
    </row>
    <row r="65" spans="1:42" x14ac:dyDescent="0.3">
      <c r="A65" s="7" t="s">
        <v>63</v>
      </c>
      <c r="B65" s="7" t="s">
        <v>64</v>
      </c>
      <c r="C65" s="7" t="s">
        <v>50</v>
      </c>
      <c r="D65" t="str">
        <f t="shared" ca="1" si="0"/>
        <v>""</v>
      </c>
      <c r="E65" s="14">
        <f t="shared" ca="1" si="7"/>
        <v>0</v>
      </c>
      <c r="F65" s="6">
        <f t="shared" ca="1" si="8"/>
        <v>0</v>
      </c>
      <c r="G65" t="s">
        <v>65</v>
      </c>
      <c r="H65" t="str">
        <f t="shared" ca="1" si="1"/>
        <v>""</v>
      </c>
      <c r="I65" s="9">
        <f t="shared" ca="1" si="9"/>
        <v>0</v>
      </c>
      <c r="J65" s="14">
        <f t="shared" ca="1" si="10"/>
        <v>0</v>
      </c>
      <c r="K65" s="14">
        <f t="shared" ca="1" si="10"/>
        <v>0</v>
      </c>
      <c r="L65" s="9">
        <v>0</v>
      </c>
      <c r="M65" t="str">
        <f ca="1">Quotes&amp;Format!N69&amp;UPPER(INDIRECT(M$1,TRUE))&amp;Quotes</f>
        <v>""</v>
      </c>
      <c r="N65" t="str">
        <f t="shared" ca="1" si="2"/>
        <v>","</v>
      </c>
      <c r="O65" t="s">
        <v>66</v>
      </c>
      <c r="P65" t="str">
        <f t="shared" ca="1" si="14"/>
        <v>""</v>
      </c>
      <c r="Q65" t="str">
        <f t="shared" ca="1" si="14"/>
        <v>""</v>
      </c>
      <c r="R65" t="str">
        <f t="shared" ca="1" si="14"/>
        <v>""</v>
      </c>
      <c r="S65" t="str">
        <f t="shared" ca="1" si="14"/>
        <v>""</v>
      </c>
      <c r="T65" t="s">
        <v>66</v>
      </c>
      <c r="U65" s="11" t="s">
        <v>50</v>
      </c>
      <c r="V65" s="7" t="s">
        <v>67</v>
      </c>
      <c r="W65" s="11" t="s">
        <v>50</v>
      </c>
      <c r="X65" t="str">
        <f t="shared" ca="1" si="4"/>
        <v>"P20"</v>
      </c>
      <c r="Y65" s="9">
        <f t="shared" ca="1" si="11"/>
        <v>0</v>
      </c>
      <c r="Z65" s="9">
        <f t="shared" ca="1" si="11"/>
        <v>0</v>
      </c>
      <c r="AA65" s="6" t="s">
        <v>45</v>
      </c>
      <c r="AB65" s="13" t="s">
        <v>50</v>
      </c>
      <c r="AC65" s="7" t="s">
        <v>68</v>
      </c>
      <c r="AD65" s="13" t="s">
        <v>50</v>
      </c>
      <c r="AE65" s="6">
        <f t="shared" ca="1" si="12"/>
        <v>0</v>
      </c>
      <c r="AF65" t="str">
        <f t="shared" ca="1" si="17"/>
        <v>"1"</v>
      </c>
      <c r="AG65" t="str">
        <f t="shared" ca="1" si="17"/>
        <v>"1001.X710.X"</v>
      </c>
      <c r="AH65" s="14">
        <f t="shared" ca="1" si="13"/>
        <v>42277</v>
      </c>
      <c r="AI65" s="6" t="s">
        <v>45</v>
      </c>
      <c r="AJ65" t="str">
        <f t="shared" ca="1" si="6"/>
        <v>""</v>
      </c>
      <c r="AK65" t="str">
        <f t="shared" ca="1" si="6"/>
        <v>""</v>
      </c>
      <c r="AL65" t="str">
        <f t="shared" ca="1" si="6"/>
        <v>"P20"</v>
      </c>
      <c r="AM65" t="s">
        <v>66</v>
      </c>
      <c r="AN65" t="s">
        <v>66</v>
      </c>
      <c r="AO65" s="7" t="s">
        <v>50</v>
      </c>
      <c r="AP65" s="12" t="s">
        <v>58</v>
      </c>
    </row>
    <row r="66" spans="1:42" x14ac:dyDescent="0.3">
      <c r="A66" s="7" t="s">
        <v>63</v>
      </c>
      <c r="B66" s="7" t="s">
        <v>64</v>
      </c>
      <c r="C66" s="7" t="s">
        <v>50</v>
      </c>
      <c r="D66" t="str">
        <f t="shared" ca="1" si="0"/>
        <v>""</v>
      </c>
      <c r="E66" s="14">
        <f t="shared" ca="1" si="7"/>
        <v>0</v>
      </c>
      <c r="F66" s="6">
        <f t="shared" ca="1" si="8"/>
        <v>0</v>
      </c>
      <c r="G66" t="s">
        <v>65</v>
      </c>
      <c r="H66" t="str">
        <f t="shared" ca="1" si="1"/>
        <v>""</v>
      </c>
      <c r="I66" s="9">
        <f t="shared" ca="1" si="9"/>
        <v>0</v>
      </c>
      <c r="J66" s="14">
        <f t="shared" ca="1" si="10"/>
        <v>0</v>
      </c>
      <c r="K66" s="14">
        <f t="shared" ca="1" si="10"/>
        <v>0</v>
      </c>
      <c r="L66" s="9">
        <v>0</v>
      </c>
      <c r="M66" t="str">
        <f ca="1">Quotes&amp;Format!N70&amp;UPPER(INDIRECT(M$1,TRUE))&amp;Quotes</f>
        <v>""</v>
      </c>
      <c r="N66" t="str">
        <f t="shared" ca="1" si="2"/>
        <v>","</v>
      </c>
      <c r="O66" t="s">
        <v>66</v>
      </c>
      <c r="P66" t="str">
        <f t="shared" ca="1" si="14"/>
        <v>""</v>
      </c>
      <c r="Q66" t="str">
        <f t="shared" ca="1" si="14"/>
        <v>""</v>
      </c>
      <c r="R66" t="str">
        <f t="shared" ca="1" si="14"/>
        <v>""</v>
      </c>
      <c r="S66" t="str">
        <f t="shared" ca="1" si="14"/>
        <v>""</v>
      </c>
      <c r="T66" t="s">
        <v>66</v>
      </c>
      <c r="U66" s="11" t="s">
        <v>50</v>
      </c>
      <c r="V66" s="7" t="s">
        <v>67</v>
      </c>
      <c r="W66" s="11" t="s">
        <v>50</v>
      </c>
      <c r="X66" t="str">
        <f t="shared" ca="1" si="4"/>
        <v>"P20"</v>
      </c>
      <c r="Y66" s="9">
        <f t="shared" ca="1" si="11"/>
        <v>0</v>
      </c>
      <c r="Z66" s="9">
        <f t="shared" ca="1" si="11"/>
        <v>0</v>
      </c>
      <c r="AA66" s="6" t="s">
        <v>45</v>
      </c>
      <c r="AB66" s="13" t="s">
        <v>50</v>
      </c>
      <c r="AC66" s="7" t="s">
        <v>68</v>
      </c>
      <c r="AD66" s="13" t="s">
        <v>50</v>
      </c>
      <c r="AE66" s="6">
        <f t="shared" ca="1" si="12"/>
        <v>0</v>
      </c>
      <c r="AF66" t="str">
        <f t="shared" ca="1" si="17"/>
        <v>"1"</v>
      </c>
      <c r="AG66" t="str">
        <f t="shared" ca="1" si="17"/>
        <v>"1001.X710.X"</v>
      </c>
      <c r="AH66" s="14">
        <f t="shared" ca="1" si="13"/>
        <v>42277</v>
      </c>
      <c r="AI66" s="6" t="s">
        <v>45</v>
      </c>
      <c r="AJ66" t="str">
        <f t="shared" ca="1" si="6"/>
        <v>""</v>
      </c>
      <c r="AK66" t="str">
        <f t="shared" ca="1" si="6"/>
        <v>""</v>
      </c>
      <c r="AL66" t="str">
        <f t="shared" ca="1" si="6"/>
        <v>"P20"</v>
      </c>
      <c r="AM66" t="s">
        <v>66</v>
      </c>
      <c r="AN66" t="s">
        <v>66</v>
      </c>
      <c r="AO66" s="7" t="s">
        <v>50</v>
      </c>
      <c r="AP66" s="12" t="s">
        <v>58</v>
      </c>
    </row>
    <row r="67" spans="1:42" x14ac:dyDescent="0.3">
      <c r="A67" s="7" t="s">
        <v>63</v>
      </c>
      <c r="B67" s="7" t="s">
        <v>64</v>
      </c>
      <c r="C67" s="7" t="s">
        <v>50</v>
      </c>
      <c r="D67" t="str">
        <f t="shared" ca="1" si="0"/>
        <v>""</v>
      </c>
      <c r="E67" s="14">
        <f t="shared" ca="1" si="7"/>
        <v>0</v>
      </c>
      <c r="F67" s="6">
        <f t="shared" ca="1" si="8"/>
        <v>0</v>
      </c>
      <c r="G67" t="s">
        <v>65</v>
      </c>
      <c r="H67" t="str">
        <f t="shared" ca="1" si="1"/>
        <v>""</v>
      </c>
      <c r="I67" s="9">
        <f t="shared" ca="1" si="9"/>
        <v>0</v>
      </c>
      <c r="J67" s="14">
        <f t="shared" ca="1" si="10"/>
        <v>0</v>
      </c>
      <c r="K67" s="14">
        <f t="shared" ca="1" si="10"/>
        <v>0</v>
      </c>
      <c r="L67" s="9">
        <v>0</v>
      </c>
      <c r="M67" t="str">
        <f ca="1">Quotes&amp;Format!N71&amp;UPPER(INDIRECT(M$1,TRUE))&amp;Quotes</f>
        <v>""</v>
      </c>
      <c r="N67" t="str">
        <f t="shared" ca="1" si="2"/>
        <v>","</v>
      </c>
      <c r="O67" t="s">
        <v>66</v>
      </c>
      <c r="P67" t="str">
        <f t="shared" ca="1" si="14"/>
        <v>""</v>
      </c>
      <c r="Q67" t="str">
        <f t="shared" ca="1" si="14"/>
        <v>""</v>
      </c>
      <c r="R67" t="str">
        <f t="shared" ca="1" si="14"/>
        <v>""</v>
      </c>
      <c r="S67" t="str">
        <f t="shared" ca="1" si="14"/>
        <v>""</v>
      </c>
      <c r="T67" t="s">
        <v>66</v>
      </c>
      <c r="U67" s="11" t="s">
        <v>50</v>
      </c>
      <c r="V67" s="7" t="s">
        <v>67</v>
      </c>
      <c r="W67" s="11" t="s">
        <v>50</v>
      </c>
      <c r="X67" t="str">
        <f t="shared" ca="1" si="4"/>
        <v>"P20"</v>
      </c>
      <c r="Y67" s="9">
        <f t="shared" ca="1" si="11"/>
        <v>0</v>
      </c>
      <c r="Z67" s="9">
        <f t="shared" ca="1" si="11"/>
        <v>0</v>
      </c>
      <c r="AA67" s="6" t="s">
        <v>45</v>
      </c>
      <c r="AB67" s="13" t="s">
        <v>50</v>
      </c>
      <c r="AC67" s="7" t="s">
        <v>68</v>
      </c>
      <c r="AD67" s="13" t="s">
        <v>50</v>
      </c>
      <c r="AE67" s="6">
        <f t="shared" ca="1" si="12"/>
        <v>0</v>
      </c>
      <c r="AF67" t="str">
        <f t="shared" ca="1" si="17"/>
        <v>"1"</v>
      </c>
      <c r="AG67" t="str">
        <f t="shared" ca="1" si="17"/>
        <v>"1001.X710.X"</v>
      </c>
      <c r="AH67" s="14">
        <f t="shared" ca="1" si="13"/>
        <v>42277</v>
      </c>
      <c r="AI67" s="6" t="s">
        <v>45</v>
      </c>
      <c r="AJ67" t="str">
        <f t="shared" ca="1" si="6"/>
        <v>""</v>
      </c>
      <c r="AK67" t="str">
        <f t="shared" ca="1" si="6"/>
        <v>""</v>
      </c>
      <c r="AL67" t="str">
        <f t="shared" ca="1" si="6"/>
        <v>"P20"</v>
      </c>
      <c r="AM67" t="s">
        <v>66</v>
      </c>
      <c r="AN67" t="s">
        <v>66</v>
      </c>
      <c r="AO67" s="7" t="s">
        <v>50</v>
      </c>
      <c r="AP67" s="12" t="s">
        <v>58</v>
      </c>
    </row>
    <row r="68" spans="1:42" x14ac:dyDescent="0.3">
      <c r="A68" s="7" t="s">
        <v>63</v>
      </c>
      <c r="B68" s="7" t="s">
        <v>64</v>
      </c>
      <c r="C68" s="7" t="s">
        <v>50</v>
      </c>
      <c r="D68" t="str">
        <f t="shared" ref="D68:D125" ca="1" si="18">Quotes&amp;IF(INDIRECT(D$1,TRUE)="","""",UPPER(INDIRECT(D$1,TRUE))&amp;Quotes)</f>
        <v>""</v>
      </c>
      <c r="E68" s="14">
        <f t="shared" ca="1" si="7"/>
        <v>0</v>
      </c>
      <c r="F68" s="6">
        <f t="shared" ca="1" si="8"/>
        <v>0</v>
      </c>
      <c r="G68" t="s">
        <v>65</v>
      </c>
      <c r="H68" t="str">
        <f t="shared" ref="H68:H125" ca="1" si="19">Quotes&amp;IF(INDIRECT(H$1,TRUE)="PINV","PINN"&amp;Quotes,UPPER(INDIRECT(H$1,TRUE))&amp;Quotes)</f>
        <v>""</v>
      </c>
      <c r="I68" s="9">
        <f t="shared" ca="1" si="9"/>
        <v>0</v>
      </c>
      <c r="J68" s="14">
        <f t="shared" ca="1" si="10"/>
        <v>0</v>
      </c>
      <c r="K68" s="14">
        <f t="shared" ca="1" si="10"/>
        <v>0</v>
      </c>
      <c r="L68" s="9">
        <v>0</v>
      </c>
      <c r="M68" t="str">
        <f ca="1">Quotes&amp;Format!N72&amp;UPPER(INDIRECT(M$1,TRUE))&amp;Quotes</f>
        <v>""</v>
      </c>
      <c r="N68" t="str">
        <f t="shared" ref="N68:N125" ca="1" si="20">Quotes&amp;IF(INDIRECT(N$1,TRUE)="",","&amp;Quotes,UPPER(INDIRECT(N$1,TRUE))&amp;Quotes)</f>
        <v>","</v>
      </c>
      <c r="O68" t="s">
        <v>66</v>
      </c>
      <c r="P68" t="str">
        <f t="shared" ca="1" si="14"/>
        <v>""</v>
      </c>
      <c r="Q68" t="str">
        <f t="shared" ca="1" si="14"/>
        <v>""</v>
      </c>
      <c r="R68" t="str">
        <f t="shared" ca="1" si="14"/>
        <v>""</v>
      </c>
      <c r="S68" t="str">
        <f t="shared" ca="1" si="14"/>
        <v>""</v>
      </c>
      <c r="T68" t="s">
        <v>66</v>
      </c>
      <c r="U68" s="11" t="s">
        <v>50</v>
      </c>
      <c r="V68" s="7" t="s">
        <v>67</v>
      </c>
      <c r="W68" s="11" t="s">
        <v>50</v>
      </c>
      <c r="X68" t="str">
        <f t="shared" ref="X68:X125" ca="1" si="21">Quotes&amp;IF(INDIRECT(X$1,TRUE)="","""",UPPER(INDIRECT(X$1,TRUE))&amp;Quotes)</f>
        <v>"P20"</v>
      </c>
      <c r="Y68" s="9">
        <f t="shared" ca="1" si="11"/>
        <v>0</v>
      </c>
      <c r="Z68" s="9">
        <f t="shared" ca="1" si="11"/>
        <v>0</v>
      </c>
      <c r="AA68" s="6" t="s">
        <v>45</v>
      </c>
      <c r="AB68" s="13" t="s">
        <v>50</v>
      </c>
      <c r="AC68" s="7" t="s">
        <v>68</v>
      </c>
      <c r="AD68" s="13" t="s">
        <v>50</v>
      </c>
      <c r="AE68" s="6">
        <f t="shared" ca="1" si="12"/>
        <v>0</v>
      </c>
      <c r="AF68" t="str">
        <f t="shared" ca="1" si="17"/>
        <v>"1"</v>
      </c>
      <c r="AG68" t="str">
        <f t="shared" ca="1" si="17"/>
        <v>"1001.X710.X"</v>
      </c>
      <c r="AH68" s="14">
        <f t="shared" ca="1" si="13"/>
        <v>42277</v>
      </c>
      <c r="AI68" s="6" t="s">
        <v>45</v>
      </c>
      <c r="AJ68" t="str">
        <f t="shared" ref="AJ68:AL125" ca="1" si="22">Quotes&amp;IF(INDIRECT(AJ$1,TRUE)="","""",UPPER(INDIRECT(AJ$1,TRUE))&amp;Quotes)</f>
        <v>""</v>
      </c>
      <c r="AK68" t="str">
        <f t="shared" ca="1" si="22"/>
        <v>""</v>
      </c>
      <c r="AL68" t="str">
        <f t="shared" ca="1" si="22"/>
        <v>"P20"</v>
      </c>
      <c r="AM68" t="s">
        <v>66</v>
      </c>
      <c r="AN68" t="s">
        <v>66</v>
      </c>
      <c r="AO68" s="7" t="s">
        <v>50</v>
      </c>
      <c r="AP68" s="12" t="s">
        <v>58</v>
      </c>
    </row>
    <row r="69" spans="1:42" x14ac:dyDescent="0.3">
      <c r="A69" s="7" t="s">
        <v>63</v>
      </c>
      <c r="B69" s="7" t="s">
        <v>64</v>
      </c>
      <c r="C69" s="7" t="s">
        <v>50</v>
      </c>
      <c r="D69" t="str">
        <f t="shared" ca="1" si="18"/>
        <v>""</v>
      </c>
      <c r="E69" s="14">
        <f t="shared" ca="1" si="7"/>
        <v>0</v>
      </c>
      <c r="F69" s="6">
        <f t="shared" ca="1" si="8"/>
        <v>0</v>
      </c>
      <c r="G69" t="s">
        <v>65</v>
      </c>
      <c r="H69" t="str">
        <f t="shared" ca="1" si="19"/>
        <v>""</v>
      </c>
      <c r="I69" s="9">
        <f t="shared" ca="1" si="9"/>
        <v>0</v>
      </c>
      <c r="J69" s="14">
        <f t="shared" ca="1" si="10"/>
        <v>0</v>
      </c>
      <c r="K69" s="14">
        <f t="shared" ca="1" si="10"/>
        <v>0</v>
      </c>
      <c r="L69" s="9">
        <v>0</v>
      </c>
      <c r="M69" t="str">
        <f ca="1">Quotes&amp;Format!N73&amp;UPPER(INDIRECT(M$1,TRUE))&amp;Quotes</f>
        <v>""</v>
      </c>
      <c r="N69" t="str">
        <f t="shared" ca="1" si="20"/>
        <v>","</v>
      </c>
      <c r="O69" t="s">
        <v>66</v>
      </c>
      <c r="P69" t="str">
        <f t="shared" ca="1" si="14"/>
        <v>""</v>
      </c>
      <c r="Q69" t="str">
        <f t="shared" ca="1" si="14"/>
        <v>""</v>
      </c>
      <c r="R69" t="str">
        <f t="shared" ca="1" si="14"/>
        <v>""</v>
      </c>
      <c r="S69" t="str">
        <f t="shared" ca="1" si="14"/>
        <v>""</v>
      </c>
      <c r="T69" t="s">
        <v>66</v>
      </c>
      <c r="U69" s="11" t="s">
        <v>50</v>
      </c>
      <c r="V69" s="7" t="s">
        <v>67</v>
      </c>
      <c r="W69" s="11" t="s">
        <v>50</v>
      </c>
      <c r="X69" t="str">
        <f t="shared" ca="1" si="21"/>
        <v>"P20"</v>
      </c>
      <c r="Y69" s="9">
        <f t="shared" ca="1" si="11"/>
        <v>0</v>
      </c>
      <c r="Z69" s="9">
        <f t="shared" ca="1" si="11"/>
        <v>0</v>
      </c>
      <c r="AA69" s="6" t="s">
        <v>45</v>
      </c>
      <c r="AB69" s="13" t="s">
        <v>50</v>
      </c>
      <c r="AC69" s="7" t="s">
        <v>68</v>
      </c>
      <c r="AD69" s="13" t="s">
        <v>50</v>
      </c>
      <c r="AE69" s="6">
        <f t="shared" ca="1" si="12"/>
        <v>0</v>
      </c>
      <c r="AF69" t="str">
        <f t="shared" ca="1" si="17"/>
        <v>"1"</v>
      </c>
      <c r="AG69" t="str">
        <f t="shared" ca="1" si="17"/>
        <v>"1001.X710.X"</v>
      </c>
      <c r="AH69" s="14">
        <f t="shared" ca="1" si="13"/>
        <v>42277</v>
      </c>
      <c r="AI69" s="6" t="s">
        <v>45</v>
      </c>
      <c r="AJ69" t="str">
        <f t="shared" ca="1" si="22"/>
        <v>""</v>
      </c>
      <c r="AK69" t="str">
        <f t="shared" ca="1" si="22"/>
        <v>""</v>
      </c>
      <c r="AL69" t="str">
        <f t="shared" ca="1" si="22"/>
        <v>"P20"</v>
      </c>
      <c r="AM69" t="s">
        <v>66</v>
      </c>
      <c r="AN69" t="s">
        <v>66</v>
      </c>
      <c r="AO69" s="7" t="s">
        <v>50</v>
      </c>
      <c r="AP69" s="12" t="s">
        <v>58</v>
      </c>
    </row>
    <row r="70" spans="1:42" x14ac:dyDescent="0.3">
      <c r="A70" s="7" t="s">
        <v>63</v>
      </c>
      <c r="B70" s="7" t="s">
        <v>64</v>
      </c>
      <c r="C70" s="7" t="s">
        <v>50</v>
      </c>
      <c r="D70" t="str">
        <f t="shared" ca="1" si="18"/>
        <v>""</v>
      </c>
      <c r="E70" s="14">
        <f t="shared" ref="E70:E125" ca="1" si="23">INDIRECT(E$1)</f>
        <v>0</v>
      </c>
      <c r="F70" s="6">
        <f t="shared" ref="F70:F125" ca="1" si="24">IF(INDIRECT($H$1)="PCRN",-INDIRECT(F$1),INDIRECT(F$1))</f>
        <v>0</v>
      </c>
      <c r="G70" t="s">
        <v>65</v>
      </c>
      <c r="H70" t="str">
        <f t="shared" ca="1" si="19"/>
        <v>""</v>
      </c>
      <c r="I70" s="9">
        <f t="shared" ref="I70:I125" ca="1" si="25">IF(INDIRECT($H$1)="PCRN",-INDIRECT(I$1),INDIRECT(I$1))</f>
        <v>0</v>
      </c>
      <c r="J70" s="14">
        <f t="shared" ref="J70:K125" ca="1" si="26">INDIRECT(J$1)</f>
        <v>0</v>
      </c>
      <c r="K70" s="14">
        <f t="shared" ca="1" si="26"/>
        <v>0</v>
      </c>
      <c r="L70" s="9">
        <v>0</v>
      </c>
      <c r="M70" t="str">
        <f ca="1">Quotes&amp;Format!N74&amp;UPPER(INDIRECT(M$1,TRUE))&amp;Quotes</f>
        <v>""</v>
      </c>
      <c r="N70" t="str">
        <f t="shared" ca="1" si="20"/>
        <v>","</v>
      </c>
      <c r="O70" t="s">
        <v>66</v>
      </c>
      <c r="P70" t="str">
        <f t="shared" ca="1" si="14"/>
        <v>""</v>
      </c>
      <c r="Q70" t="str">
        <f t="shared" ca="1" si="14"/>
        <v>""</v>
      </c>
      <c r="R70" t="str">
        <f t="shared" ca="1" si="14"/>
        <v>""</v>
      </c>
      <c r="S70" t="str">
        <f t="shared" ca="1" si="14"/>
        <v>""</v>
      </c>
      <c r="T70" t="s">
        <v>66</v>
      </c>
      <c r="U70" s="11" t="s">
        <v>50</v>
      </c>
      <c r="V70" s="7" t="s">
        <v>67</v>
      </c>
      <c r="W70" s="11" t="s">
        <v>50</v>
      </c>
      <c r="X70" t="str">
        <f t="shared" ca="1" si="21"/>
        <v>"P20"</v>
      </c>
      <c r="Y70" s="9">
        <f t="shared" ref="Y70:Z125" ca="1" si="27">IF(INDIRECT($H$1)="PCRN",-INDIRECT(Y$1),INDIRECT(Y$1))</f>
        <v>0</v>
      </c>
      <c r="Z70" s="9">
        <f t="shared" ca="1" si="27"/>
        <v>0</v>
      </c>
      <c r="AA70" s="6" t="s">
        <v>45</v>
      </c>
      <c r="AB70" s="13" t="s">
        <v>50</v>
      </c>
      <c r="AC70" s="7" t="s">
        <v>68</v>
      </c>
      <c r="AD70" s="13" t="s">
        <v>50</v>
      </c>
      <c r="AE70" s="6">
        <f t="shared" ref="AE70:AE125" ca="1" si="28">IF(INDIRECT($H$1)="PCRN",-INDIRECT(AE$1),INDIRECT(AE$1))</f>
        <v>0</v>
      </c>
      <c r="AF70" t="str">
        <f t="shared" ca="1" si="17"/>
        <v>"1"</v>
      </c>
      <c r="AG70" t="str">
        <f t="shared" ca="1" si="17"/>
        <v>"1001.X710.X"</v>
      </c>
      <c r="AH70" s="14">
        <f t="shared" ref="AH70:AH125" ca="1" si="29">INDIRECT(AH$1)</f>
        <v>42277</v>
      </c>
      <c r="AI70" s="6" t="s">
        <v>45</v>
      </c>
      <c r="AJ70" t="str">
        <f t="shared" ca="1" si="22"/>
        <v>""</v>
      </c>
      <c r="AK70" t="str">
        <f t="shared" ca="1" si="22"/>
        <v>""</v>
      </c>
      <c r="AL70" t="str">
        <f t="shared" ca="1" si="22"/>
        <v>"P20"</v>
      </c>
      <c r="AM70" t="s">
        <v>66</v>
      </c>
      <c r="AN70" t="s">
        <v>66</v>
      </c>
      <c r="AO70" s="7" t="s">
        <v>50</v>
      </c>
      <c r="AP70" s="12" t="s">
        <v>58</v>
      </c>
    </row>
    <row r="71" spans="1:42" x14ac:dyDescent="0.3">
      <c r="A71" s="7" t="s">
        <v>63</v>
      </c>
      <c r="B71" s="7" t="s">
        <v>64</v>
      </c>
      <c r="C71" s="7" t="s">
        <v>50</v>
      </c>
      <c r="D71" t="str">
        <f t="shared" ca="1" si="18"/>
        <v>""</v>
      </c>
      <c r="E71" s="14">
        <f t="shared" ca="1" si="23"/>
        <v>0</v>
      </c>
      <c r="F71" s="6">
        <f t="shared" ca="1" si="24"/>
        <v>0</v>
      </c>
      <c r="G71" t="s">
        <v>65</v>
      </c>
      <c r="H71" t="str">
        <f t="shared" ca="1" si="19"/>
        <v>""</v>
      </c>
      <c r="I71" s="9">
        <f t="shared" ca="1" si="25"/>
        <v>0</v>
      </c>
      <c r="J71" s="14">
        <f t="shared" ca="1" si="26"/>
        <v>0</v>
      </c>
      <c r="K71" s="14">
        <f t="shared" ca="1" si="26"/>
        <v>0</v>
      </c>
      <c r="L71" s="9">
        <v>0</v>
      </c>
      <c r="M71" t="str">
        <f ca="1">Quotes&amp;Format!N75&amp;UPPER(INDIRECT(M$1,TRUE))&amp;Quotes</f>
        <v>""</v>
      </c>
      <c r="N71" t="str">
        <f t="shared" ca="1" si="20"/>
        <v>","</v>
      </c>
      <c r="O71" t="s">
        <v>66</v>
      </c>
      <c r="P71" t="str">
        <f t="shared" ca="1" si="14"/>
        <v>""</v>
      </c>
      <c r="Q71" t="str">
        <f t="shared" ca="1" si="14"/>
        <v>""</v>
      </c>
      <c r="R71" t="str">
        <f t="shared" ca="1" si="14"/>
        <v>""</v>
      </c>
      <c r="S71" t="str">
        <f t="shared" ca="1" si="14"/>
        <v>""</v>
      </c>
      <c r="T71" t="s">
        <v>66</v>
      </c>
      <c r="U71" s="11" t="s">
        <v>50</v>
      </c>
      <c r="V71" s="7" t="s">
        <v>67</v>
      </c>
      <c r="W71" s="11" t="s">
        <v>50</v>
      </c>
      <c r="X71" t="str">
        <f t="shared" ca="1" si="21"/>
        <v>"P20"</v>
      </c>
      <c r="Y71" s="9">
        <f t="shared" ca="1" si="27"/>
        <v>0</v>
      </c>
      <c r="Z71" s="9">
        <f t="shared" ca="1" si="27"/>
        <v>0</v>
      </c>
      <c r="AA71" s="6" t="s">
        <v>45</v>
      </c>
      <c r="AB71" s="13" t="s">
        <v>50</v>
      </c>
      <c r="AC71" s="7" t="s">
        <v>68</v>
      </c>
      <c r="AD71" s="13" t="s">
        <v>50</v>
      </c>
      <c r="AE71" s="6">
        <f t="shared" ca="1" si="28"/>
        <v>0</v>
      </c>
      <c r="AF71" t="str">
        <f t="shared" ca="1" si="17"/>
        <v>"1"</v>
      </c>
      <c r="AG71" t="str">
        <f t="shared" ca="1" si="17"/>
        <v>"1001.X710.X"</v>
      </c>
      <c r="AH71" s="14">
        <f t="shared" ca="1" si="29"/>
        <v>42277</v>
      </c>
      <c r="AI71" s="6" t="s">
        <v>45</v>
      </c>
      <c r="AJ71" t="str">
        <f t="shared" ca="1" si="22"/>
        <v>""</v>
      </c>
      <c r="AK71" t="str">
        <f t="shared" ca="1" si="22"/>
        <v>""</v>
      </c>
      <c r="AL71" t="str">
        <f t="shared" ca="1" si="22"/>
        <v>"P20"</v>
      </c>
      <c r="AM71" t="s">
        <v>66</v>
      </c>
      <c r="AN71" t="s">
        <v>66</v>
      </c>
      <c r="AO71" s="7" t="s">
        <v>50</v>
      </c>
      <c r="AP71" s="12" t="s">
        <v>58</v>
      </c>
    </row>
    <row r="72" spans="1:42" x14ac:dyDescent="0.3">
      <c r="A72" s="7" t="s">
        <v>63</v>
      </c>
      <c r="B72" s="7" t="s">
        <v>64</v>
      </c>
      <c r="C72" s="7" t="s">
        <v>50</v>
      </c>
      <c r="D72" t="str">
        <f t="shared" ca="1" si="18"/>
        <v>""</v>
      </c>
      <c r="E72" s="14">
        <f t="shared" ca="1" si="23"/>
        <v>0</v>
      </c>
      <c r="F72" s="6">
        <f t="shared" ca="1" si="24"/>
        <v>0</v>
      </c>
      <c r="G72" t="s">
        <v>65</v>
      </c>
      <c r="H72" t="str">
        <f t="shared" ca="1" si="19"/>
        <v>""</v>
      </c>
      <c r="I72" s="9">
        <f t="shared" ca="1" si="25"/>
        <v>0</v>
      </c>
      <c r="J72" s="14">
        <f t="shared" ca="1" si="26"/>
        <v>0</v>
      </c>
      <c r="K72" s="14">
        <f t="shared" ca="1" si="26"/>
        <v>0</v>
      </c>
      <c r="L72" s="9">
        <v>0</v>
      </c>
      <c r="M72" t="str">
        <f ca="1">Quotes&amp;Format!N76&amp;UPPER(INDIRECT(M$1,TRUE))&amp;Quotes</f>
        <v>""</v>
      </c>
      <c r="N72" t="str">
        <f t="shared" ca="1" si="20"/>
        <v>","</v>
      </c>
      <c r="O72" t="s">
        <v>66</v>
      </c>
      <c r="P72" t="str">
        <f t="shared" ca="1" si="14"/>
        <v>""</v>
      </c>
      <c r="Q72" t="str">
        <f t="shared" ca="1" si="14"/>
        <v>""</v>
      </c>
      <c r="R72" t="str">
        <f t="shared" ca="1" si="14"/>
        <v>""</v>
      </c>
      <c r="S72" t="str">
        <f t="shared" ca="1" si="14"/>
        <v>""</v>
      </c>
      <c r="T72" t="s">
        <v>66</v>
      </c>
      <c r="U72" s="11" t="s">
        <v>50</v>
      </c>
      <c r="V72" s="7" t="s">
        <v>67</v>
      </c>
      <c r="W72" s="11" t="s">
        <v>50</v>
      </c>
      <c r="X72" t="str">
        <f t="shared" ca="1" si="21"/>
        <v>"P20"</v>
      </c>
      <c r="Y72" s="9">
        <f t="shared" ca="1" si="27"/>
        <v>0</v>
      </c>
      <c r="Z72" s="9">
        <f t="shared" ca="1" si="27"/>
        <v>0</v>
      </c>
      <c r="AA72" s="6" t="s">
        <v>45</v>
      </c>
      <c r="AB72" s="13" t="s">
        <v>50</v>
      </c>
      <c r="AC72" s="7" t="s">
        <v>68</v>
      </c>
      <c r="AD72" s="13" t="s">
        <v>50</v>
      </c>
      <c r="AE72" s="6">
        <f t="shared" ca="1" si="28"/>
        <v>0</v>
      </c>
      <c r="AF72" t="str">
        <f t="shared" ca="1" si="17"/>
        <v>"1"</v>
      </c>
      <c r="AG72" t="str">
        <f t="shared" ca="1" si="17"/>
        <v>"1001.X710.X"</v>
      </c>
      <c r="AH72" s="14">
        <f t="shared" ca="1" si="29"/>
        <v>42277</v>
      </c>
      <c r="AI72" s="6" t="s">
        <v>45</v>
      </c>
      <c r="AJ72" t="str">
        <f t="shared" ca="1" si="22"/>
        <v>""</v>
      </c>
      <c r="AK72" t="str">
        <f t="shared" ca="1" si="22"/>
        <v>""</v>
      </c>
      <c r="AL72" t="str">
        <f t="shared" ca="1" si="22"/>
        <v>"P20"</v>
      </c>
      <c r="AM72" t="s">
        <v>66</v>
      </c>
      <c r="AN72" t="s">
        <v>66</v>
      </c>
      <c r="AO72" s="7" t="s">
        <v>50</v>
      </c>
      <c r="AP72" s="12" t="s">
        <v>58</v>
      </c>
    </row>
    <row r="73" spans="1:42" x14ac:dyDescent="0.3">
      <c r="A73" s="7" t="s">
        <v>63</v>
      </c>
      <c r="B73" s="7" t="s">
        <v>64</v>
      </c>
      <c r="C73" s="7" t="s">
        <v>50</v>
      </c>
      <c r="D73" t="str">
        <f t="shared" ca="1" si="18"/>
        <v>""</v>
      </c>
      <c r="E73" s="14">
        <f t="shared" ca="1" si="23"/>
        <v>0</v>
      </c>
      <c r="F73" s="6">
        <f t="shared" ca="1" si="24"/>
        <v>0</v>
      </c>
      <c r="G73" t="s">
        <v>65</v>
      </c>
      <c r="H73" t="str">
        <f t="shared" ca="1" si="19"/>
        <v>""</v>
      </c>
      <c r="I73" s="9">
        <f t="shared" ca="1" si="25"/>
        <v>0</v>
      </c>
      <c r="J73" s="14">
        <f t="shared" ca="1" si="26"/>
        <v>0</v>
      </c>
      <c r="K73" s="14">
        <f t="shared" ca="1" si="26"/>
        <v>0</v>
      </c>
      <c r="L73" s="9">
        <v>0</v>
      </c>
      <c r="M73" t="str">
        <f ca="1">Quotes&amp;Format!N77&amp;UPPER(INDIRECT(M$1,TRUE))&amp;Quotes</f>
        <v>""</v>
      </c>
      <c r="N73" t="str">
        <f t="shared" ca="1" si="20"/>
        <v>","</v>
      </c>
      <c r="O73" t="s">
        <v>66</v>
      </c>
      <c r="P73" t="str">
        <f t="shared" ca="1" si="14"/>
        <v>""</v>
      </c>
      <c r="Q73" t="str">
        <f t="shared" ca="1" si="14"/>
        <v>""</v>
      </c>
      <c r="R73" t="str">
        <f t="shared" ca="1" si="14"/>
        <v>""</v>
      </c>
      <c r="S73" t="str">
        <f t="shared" ca="1" si="14"/>
        <v>""</v>
      </c>
      <c r="T73" t="s">
        <v>66</v>
      </c>
      <c r="U73" s="11" t="s">
        <v>50</v>
      </c>
      <c r="V73" s="7" t="s">
        <v>67</v>
      </c>
      <c r="W73" s="11" t="s">
        <v>50</v>
      </c>
      <c r="X73" t="str">
        <f t="shared" ca="1" si="21"/>
        <v>"P20"</v>
      </c>
      <c r="Y73" s="9">
        <f t="shared" ca="1" si="27"/>
        <v>0</v>
      </c>
      <c r="Z73" s="9">
        <f t="shared" ca="1" si="27"/>
        <v>0</v>
      </c>
      <c r="AA73" s="6" t="s">
        <v>45</v>
      </c>
      <c r="AB73" s="13" t="s">
        <v>50</v>
      </c>
      <c r="AC73" s="7" t="s">
        <v>68</v>
      </c>
      <c r="AD73" s="13" t="s">
        <v>50</v>
      </c>
      <c r="AE73" s="6">
        <f t="shared" ca="1" si="28"/>
        <v>0</v>
      </c>
      <c r="AF73" t="str">
        <f t="shared" ca="1" si="17"/>
        <v>"1"</v>
      </c>
      <c r="AG73" t="str">
        <f t="shared" ca="1" si="17"/>
        <v>"1001.X710.X"</v>
      </c>
      <c r="AH73" s="14">
        <f t="shared" ca="1" si="29"/>
        <v>42277</v>
      </c>
      <c r="AI73" s="6" t="s">
        <v>45</v>
      </c>
      <c r="AJ73" t="str">
        <f t="shared" ca="1" si="22"/>
        <v>""</v>
      </c>
      <c r="AK73" t="str">
        <f t="shared" ca="1" si="22"/>
        <v>""</v>
      </c>
      <c r="AL73" t="str">
        <f t="shared" ca="1" si="22"/>
        <v>"P20"</v>
      </c>
      <c r="AM73" t="s">
        <v>66</v>
      </c>
      <c r="AN73" t="s">
        <v>66</v>
      </c>
      <c r="AO73" s="7" t="s">
        <v>50</v>
      </c>
      <c r="AP73" s="12" t="s">
        <v>58</v>
      </c>
    </row>
    <row r="74" spans="1:42" x14ac:dyDescent="0.3">
      <c r="A74" s="7" t="s">
        <v>63</v>
      </c>
      <c r="B74" s="7" t="s">
        <v>64</v>
      </c>
      <c r="C74" s="7" t="s">
        <v>50</v>
      </c>
      <c r="D74" t="str">
        <f t="shared" ca="1" si="18"/>
        <v>""</v>
      </c>
      <c r="E74" s="14">
        <f t="shared" ca="1" si="23"/>
        <v>0</v>
      </c>
      <c r="F74" s="6">
        <f t="shared" ca="1" si="24"/>
        <v>0</v>
      </c>
      <c r="G74" t="s">
        <v>65</v>
      </c>
      <c r="H74" t="str">
        <f t="shared" ca="1" si="19"/>
        <v>""</v>
      </c>
      <c r="I74" s="9">
        <f t="shared" ca="1" si="25"/>
        <v>0</v>
      </c>
      <c r="J74" s="14">
        <f t="shared" ca="1" si="26"/>
        <v>0</v>
      </c>
      <c r="K74" s="14">
        <f t="shared" ca="1" si="26"/>
        <v>0</v>
      </c>
      <c r="L74" s="9">
        <v>0</v>
      </c>
      <c r="M74" t="str">
        <f ca="1">Quotes&amp;Format!N78&amp;UPPER(INDIRECT(M$1,TRUE))&amp;Quotes</f>
        <v>""</v>
      </c>
      <c r="N74" t="str">
        <f t="shared" ca="1" si="20"/>
        <v>","</v>
      </c>
      <c r="O74" t="s">
        <v>66</v>
      </c>
      <c r="P74" t="str">
        <f t="shared" ca="1" si="14"/>
        <v>""</v>
      </c>
      <c r="Q74" t="str">
        <f t="shared" ca="1" si="14"/>
        <v>""</v>
      </c>
      <c r="R74" t="str">
        <f t="shared" ca="1" si="14"/>
        <v>""</v>
      </c>
      <c r="S74" t="str">
        <f t="shared" ca="1" si="14"/>
        <v>""</v>
      </c>
      <c r="T74" t="s">
        <v>66</v>
      </c>
      <c r="U74" s="11" t="s">
        <v>50</v>
      </c>
      <c r="V74" s="7" t="s">
        <v>67</v>
      </c>
      <c r="W74" s="11" t="s">
        <v>50</v>
      </c>
      <c r="X74" t="str">
        <f t="shared" ca="1" si="21"/>
        <v>"P20"</v>
      </c>
      <c r="Y74" s="9">
        <f t="shared" ca="1" si="27"/>
        <v>0</v>
      </c>
      <c r="Z74" s="9">
        <f t="shared" ca="1" si="27"/>
        <v>0</v>
      </c>
      <c r="AA74" s="6" t="s">
        <v>45</v>
      </c>
      <c r="AB74" s="13" t="s">
        <v>50</v>
      </c>
      <c r="AC74" s="7" t="s">
        <v>68</v>
      </c>
      <c r="AD74" s="13" t="s">
        <v>50</v>
      </c>
      <c r="AE74" s="6">
        <f t="shared" ca="1" si="28"/>
        <v>0</v>
      </c>
      <c r="AF74" t="str">
        <f t="shared" ca="1" si="17"/>
        <v>"1"</v>
      </c>
      <c r="AG74" t="str">
        <f t="shared" ca="1" si="17"/>
        <v>"1001.X710.X"</v>
      </c>
      <c r="AH74" s="14">
        <f t="shared" ca="1" si="29"/>
        <v>42277</v>
      </c>
      <c r="AI74" s="6" t="s">
        <v>45</v>
      </c>
      <c r="AJ74" t="str">
        <f t="shared" ca="1" si="22"/>
        <v>""</v>
      </c>
      <c r="AK74" t="str">
        <f t="shared" ca="1" si="22"/>
        <v>""</v>
      </c>
      <c r="AL74" t="str">
        <f t="shared" ca="1" si="22"/>
        <v>"P20"</v>
      </c>
      <c r="AM74" t="s">
        <v>66</v>
      </c>
      <c r="AN74" t="s">
        <v>66</v>
      </c>
      <c r="AO74" s="7" t="s">
        <v>50</v>
      </c>
      <c r="AP74" s="12" t="s">
        <v>58</v>
      </c>
    </row>
    <row r="75" spans="1:42" x14ac:dyDescent="0.3">
      <c r="A75" s="7" t="s">
        <v>63</v>
      </c>
      <c r="B75" s="7" t="s">
        <v>64</v>
      </c>
      <c r="C75" s="7" t="s">
        <v>50</v>
      </c>
      <c r="D75" t="str">
        <f t="shared" ca="1" si="18"/>
        <v>""</v>
      </c>
      <c r="E75" s="14">
        <f t="shared" ca="1" si="23"/>
        <v>0</v>
      </c>
      <c r="F75" s="6">
        <f t="shared" ca="1" si="24"/>
        <v>0</v>
      </c>
      <c r="G75" t="s">
        <v>65</v>
      </c>
      <c r="H75" t="str">
        <f t="shared" ca="1" si="19"/>
        <v>""</v>
      </c>
      <c r="I75" s="9">
        <f t="shared" ca="1" si="25"/>
        <v>0</v>
      </c>
      <c r="J75" s="14">
        <f t="shared" ca="1" si="26"/>
        <v>0</v>
      </c>
      <c r="K75" s="14">
        <f t="shared" ca="1" si="26"/>
        <v>0</v>
      </c>
      <c r="L75" s="9">
        <v>0</v>
      </c>
      <c r="M75" t="str">
        <f ca="1">Quotes&amp;Format!N79&amp;UPPER(INDIRECT(M$1,TRUE))&amp;Quotes</f>
        <v>""</v>
      </c>
      <c r="N75" t="str">
        <f t="shared" ca="1" si="20"/>
        <v>","</v>
      </c>
      <c r="O75" t="s">
        <v>66</v>
      </c>
      <c r="P75" t="str">
        <f t="shared" ca="1" si="14"/>
        <v>""</v>
      </c>
      <c r="Q75" t="str">
        <f t="shared" ca="1" si="14"/>
        <v>""</v>
      </c>
      <c r="R75" t="str">
        <f t="shared" ca="1" si="14"/>
        <v>""</v>
      </c>
      <c r="S75" t="str">
        <f t="shared" ca="1" si="14"/>
        <v>""</v>
      </c>
      <c r="T75" t="s">
        <v>66</v>
      </c>
      <c r="U75" s="11" t="s">
        <v>50</v>
      </c>
      <c r="V75" s="7" t="s">
        <v>67</v>
      </c>
      <c r="W75" s="11" t="s">
        <v>50</v>
      </c>
      <c r="X75" t="str">
        <f t="shared" ca="1" si="21"/>
        <v>"P20"</v>
      </c>
      <c r="Y75" s="9">
        <f t="shared" ca="1" si="27"/>
        <v>0</v>
      </c>
      <c r="Z75" s="9">
        <f t="shared" ca="1" si="27"/>
        <v>0</v>
      </c>
      <c r="AA75" s="6" t="s">
        <v>45</v>
      </c>
      <c r="AB75" s="13" t="s">
        <v>50</v>
      </c>
      <c r="AC75" s="7" t="s">
        <v>68</v>
      </c>
      <c r="AD75" s="13" t="s">
        <v>50</v>
      </c>
      <c r="AE75" s="6">
        <f t="shared" ca="1" si="28"/>
        <v>0</v>
      </c>
      <c r="AF75" t="str">
        <f t="shared" ca="1" si="17"/>
        <v>"1"</v>
      </c>
      <c r="AG75" t="str">
        <f t="shared" ca="1" si="17"/>
        <v>"1001.X710.X"</v>
      </c>
      <c r="AH75" s="14">
        <f t="shared" ca="1" si="29"/>
        <v>42277</v>
      </c>
      <c r="AI75" s="6" t="s">
        <v>45</v>
      </c>
      <c r="AJ75" t="str">
        <f t="shared" ca="1" si="22"/>
        <v>""</v>
      </c>
      <c r="AK75" t="str">
        <f t="shared" ca="1" si="22"/>
        <v>""</v>
      </c>
      <c r="AL75" t="str">
        <f t="shared" ca="1" si="22"/>
        <v>"P20"</v>
      </c>
      <c r="AM75" t="s">
        <v>66</v>
      </c>
      <c r="AN75" t="s">
        <v>66</v>
      </c>
      <c r="AO75" s="7" t="s">
        <v>50</v>
      </c>
      <c r="AP75" s="12" t="s">
        <v>58</v>
      </c>
    </row>
    <row r="76" spans="1:42" x14ac:dyDescent="0.3">
      <c r="A76" s="7" t="s">
        <v>63</v>
      </c>
      <c r="B76" s="7" t="s">
        <v>64</v>
      </c>
      <c r="C76" s="7" t="s">
        <v>50</v>
      </c>
      <c r="D76" t="str">
        <f t="shared" ca="1" si="18"/>
        <v>""</v>
      </c>
      <c r="E76" s="14">
        <f t="shared" ca="1" si="23"/>
        <v>0</v>
      </c>
      <c r="F76" s="6">
        <f t="shared" ca="1" si="24"/>
        <v>0</v>
      </c>
      <c r="G76" t="s">
        <v>65</v>
      </c>
      <c r="H76" t="str">
        <f t="shared" ca="1" si="19"/>
        <v>""</v>
      </c>
      <c r="I76" s="9">
        <f t="shared" ca="1" si="25"/>
        <v>0</v>
      </c>
      <c r="J76" s="14">
        <f t="shared" ca="1" si="26"/>
        <v>0</v>
      </c>
      <c r="K76" s="14">
        <f t="shared" ca="1" si="26"/>
        <v>0</v>
      </c>
      <c r="L76" s="9">
        <v>0</v>
      </c>
      <c r="M76" t="str">
        <f ca="1">Quotes&amp;Format!N80&amp;UPPER(INDIRECT(M$1,TRUE))&amp;Quotes</f>
        <v>""</v>
      </c>
      <c r="N76" t="str">
        <f t="shared" ca="1" si="20"/>
        <v>","</v>
      </c>
      <c r="O76" t="s">
        <v>66</v>
      </c>
      <c r="P76" t="str">
        <f t="shared" ca="1" si="14"/>
        <v>""</v>
      </c>
      <c r="Q76" t="str">
        <f t="shared" ca="1" si="14"/>
        <v>""</v>
      </c>
      <c r="R76" t="str">
        <f t="shared" ca="1" si="14"/>
        <v>""</v>
      </c>
      <c r="S76" t="str">
        <f t="shared" ca="1" si="14"/>
        <v>""</v>
      </c>
      <c r="T76" t="s">
        <v>66</v>
      </c>
      <c r="U76" s="11" t="s">
        <v>50</v>
      </c>
      <c r="V76" s="7" t="s">
        <v>67</v>
      </c>
      <c r="W76" s="11" t="s">
        <v>50</v>
      </c>
      <c r="X76" t="str">
        <f t="shared" ca="1" si="21"/>
        <v>"P20"</v>
      </c>
      <c r="Y76" s="9">
        <f t="shared" ca="1" si="27"/>
        <v>0</v>
      </c>
      <c r="Z76" s="9">
        <f t="shared" ca="1" si="27"/>
        <v>0</v>
      </c>
      <c r="AA76" s="6" t="s">
        <v>45</v>
      </c>
      <c r="AB76" s="13" t="s">
        <v>50</v>
      </c>
      <c r="AC76" s="7" t="s">
        <v>68</v>
      </c>
      <c r="AD76" s="13" t="s">
        <v>50</v>
      </c>
      <c r="AE76" s="6">
        <f t="shared" ca="1" si="28"/>
        <v>0</v>
      </c>
      <c r="AF76" t="str">
        <f t="shared" ca="1" si="17"/>
        <v>"1"</v>
      </c>
      <c r="AG76" t="str">
        <f t="shared" ca="1" si="17"/>
        <v>"1001.X710.X"</v>
      </c>
      <c r="AH76" s="14">
        <f t="shared" ca="1" si="29"/>
        <v>42277</v>
      </c>
      <c r="AI76" s="6" t="s">
        <v>45</v>
      </c>
      <c r="AJ76" t="str">
        <f t="shared" ca="1" si="22"/>
        <v>""</v>
      </c>
      <c r="AK76" t="str">
        <f t="shared" ca="1" si="22"/>
        <v>""</v>
      </c>
      <c r="AL76" t="str">
        <f t="shared" ca="1" si="22"/>
        <v>"P20"</v>
      </c>
      <c r="AM76" t="s">
        <v>66</v>
      </c>
      <c r="AN76" t="s">
        <v>66</v>
      </c>
      <c r="AO76" s="7" t="s">
        <v>50</v>
      </c>
      <c r="AP76" s="12" t="s">
        <v>58</v>
      </c>
    </row>
    <row r="77" spans="1:42" x14ac:dyDescent="0.3">
      <c r="A77" s="7" t="s">
        <v>63</v>
      </c>
      <c r="B77" s="7" t="s">
        <v>64</v>
      </c>
      <c r="C77" s="7" t="s">
        <v>50</v>
      </c>
      <c r="D77" t="str">
        <f t="shared" ca="1" si="18"/>
        <v>""</v>
      </c>
      <c r="E77" s="14">
        <f t="shared" ca="1" si="23"/>
        <v>0</v>
      </c>
      <c r="F77" s="6">
        <f t="shared" ca="1" si="24"/>
        <v>0</v>
      </c>
      <c r="G77" t="s">
        <v>65</v>
      </c>
      <c r="H77" t="str">
        <f t="shared" ca="1" si="19"/>
        <v>""</v>
      </c>
      <c r="I77" s="9">
        <f t="shared" ca="1" si="25"/>
        <v>0</v>
      </c>
      <c r="J77" s="14">
        <f t="shared" ca="1" si="26"/>
        <v>0</v>
      </c>
      <c r="K77" s="14">
        <f t="shared" ca="1" si="26"/>
        <v>0</v>
      </c>
      <c r="L77" s="9">
        <v>0</v>
      </c>
      <c r="M77" t="str">
        <f ca="1">Quotes&amp;Format!N81&amp;UPPER(INDIRECT(M$1,TRUE))&amp;Quotes</f>
        <v>""</v>
      </c>
      <c r="N77" t="str">
        <f t="shared" ca="1" si="20"/>
        <v>","</v>
      </c>
      <c r="O77" t="s">
        <v>66</v>
      </c>
      <c r="P77" t="str">
        <f t="shared" ca="1" si="14"/>
        <v>""</v>
      </c>
      <c r="Q77" t="str">
        <f t="shared" ca="1" si="14"/>
        <v>""</v>
      </c>
      <c r="R77" t="str">
        <f t="shared" ca="1" si="14"/>
        <v>""</v>
      </c>
      <c r="S77" t="str">
        <f t="shared" ca="1" si="14"/>
        <v>""</v>
      </c>
      <c r="T77" t="s">
        <v>66</v>
      </c>
      <c r="U77" s="11" t="s">
        <v>50</v>
      </c>
      <c r="V77" s="7" t="s">
        <v>67</v>
      </c>
      <c r="W77" s="11" t="s">
        <v>50</v>
      </c>
      <c r="X77" t="str">
        <f t="shared" ca="1" si="21"/>
        <v>"P20"</v>
      </c>
      <c r="Y77" s="9">
        <f t="shared" ca="1" si="27"/>
        <v>0</v>
      </c>
      <c r="Z77" s="9">
        <f t="shared" ca="1" si="27"/>
        <v>0</v>
      </c>
      <c r="AA77" s="6" t="s">
        <v>45</v>
      </c>
      <c r="AB77" s="13" t="s">
        <v>50</v>
      </c>
      <c r="AC77" s="7" t="s">
        <v>68</v>
      </c>
      <c r="AD77" s="13" t="s">
        <v>50</v>
      </c>
      <c r="AE77" s="6">
        <f t="shared" ca="1" si="28"/>
        <v>0</v>
      </c>
      <c r="AF77" t="str">
        <f t="shared" ca="1" si="17"/>
        <v>"1"</v>
      </c>
      <c r="AG77" t="str">
        <f t="shared" ca="1" si="17"/>
        <v>"1001.X710.X"</v>
      </c>
      <c r="AH77" s="14">
        <f t="shared" ca="1" si="29"/>
        <v>42277</v>
      </c>
      <c r="AI77" s="6" t="s">
        <v>45</v>
      </c>
      <c r="AJ77" t="str">
        <f t="shared" ca="1" si="22"/>
        <v>""</v>
      </c>
      <c r="AK77" t="str">
        <f t="shared" ca="1" si="22"/>
        <v>""</v>
      </c>
      <c r="AL77" t="str">
        <f t="shared" ca="1" si="22"/>
        <v>"P20"</v>
      </c>
      <c r="AM77" t="s">
        <v>66</v>
      </c>
      <c r="AN77" t="s">
        <v>66</v>
      </c>
      <c r="AO77" s="7" t="s">
        <v>50</v>
      </c>
      <c r="AP77" s="12" t="s">
        <v>58</v>
      </c>
    </row>
    <row r="78" spans="1:42" x14ac:dyDescent="0.3">
      <c r="A78" s="7" t="s">
        <v>63</v>
      </c>
      <c r="B78" s="7" t="s">
        <v>64</v>
      </c>
      <c r="C78" s="7" t="s">
        <v>50</v>
      </c>
      <c r="D78" t="str">
        <f t="shared" ca="1" si="18"/>
        <v>""</v>
      </c>
      <c r="E78" s="14">
        <f t="shared" ca="1" si="23"/>
        <v>0</v>
      </c>
      <c r="F78" s="6">
        <f t="shared" ca="1" si="24"/>
        <v>0</v>
      </c>
      <c r="G78" t="s">
        <v>65</v>
      </c>
      <c r="H78" t="str">
        <f t="shared" ca="1" si="19"/>
        <v>""</v>
      </c>
      <c r="I78" s="9">
        <f t="shared" ca="1" si="25"/>
        <v>0</v>
      </c>
      <c r="J78" s="14">
        <f t="shared" ca="1" si="26"/>
        <v>0</v>
      </c>
      <c r="K78" s="14">
        <f t="shared" ca="1" si="26"/>
        <v>0</v>
      </c>
      <c r="L78" s="9">
        <v>0</v>
      </c>
      <c r="M78" t="str">
        <f ca="1">Quotes&amp;Format!N82&amp;UPPER(INDIRECT(M$1,TRUE))&amp;Quotes</f>
        <v>""</v>
      </c>
      <c r="N78" t="str">
        <f t="shared" ca="1" si="20"/>
        <v>","</v>
      </c>
      <c r="O78" t="s">
        <v>66</v>
      </c>
      <c r="P78" t="str">
        <f t="shared" ca="1" si="14"/>
        <v>""</v>
      </c>
      <c r="Q78" t="str">
        <f t="shared" ca="1" si="14"/>
        <v>""</v>
      </c>
      <c r="R78" t="str">
        <f t="shared" ca="1" si="14"/>
        <v>""</v>
      </c>
      <c r="S78" t="str">
        <f t="shared" ca="1" si="14"/>
        <v>""</v>
      </c>
      <c r="T78" t="s">
        <v>66</v>
      </c>
      <c r="U78" s="11" t="s">
        <v>50</v>
      </c>
      <c r="V78" s="7" t="s">
        <v>67</v>
      </c>
      <c r="W78" s="11" t="s">
        <v>50</v>
      </c>
      <c r="X78" t="str">
        <f t="shared" ca="1" si="21"/>
        <v>"P20"</v>
      </c>
      <c r="Y78" s="9">
        <f t="shared" ca="1" si="27"/>
        <v>0</v>
      </c>
      <c r="Z78" s="9">
        <f t="shared" ca="1" si="27"/>
        <v>0</v>
      </c>
      <c r="AA78" s="6" t="s">
        <v>45</v>
      </c>
      <c r="AB78" s="13" t="s">
        <v>50</v>
      </c>
      <c r="AC78" s="7" t="s">
        <v>68</v>
      </c>
      <c r="AD78" s="13" t="s">
        <v>50</v>
      </c>
      <c r="AE78" s="6">
        <f t="shared" ca="1" si="28"/>
        <v>0</v>
      </c>
      <c r="AF78" t="str">
        <f t="shared" ca="1" si="17"/>
        <v>"1"</v>
      </c>
      <c r="AG78" t="str">
        <f t="shared" ca="1" si="17"/>
        <v>"1001.X710.X"</v>
      </c>
      <c r="AH78" s="14">
        <f t="shared" ca="1" si="29"/>
        <v>42277</v>
      </c>
      <c r="AI78" s="6" t="s">
        <v>45</v>
      </c>
      <c r="AJ78" t="str">
        <f t="shared" ca="1" si="22"/>
        <v>""</v>
      </c>
      <c r="AK78" t="str">
        <f t="shared" ca="1" si="22"/>
        <v>""</v>
      </c>
      <c r="AL78" t="str">
        <f t="shared" ca="1" si="22"/>
        <v>"P20"</v>
      </c>
      <c r="AM78" t="s">
        <v>66</v>
      </c>
      <c r="AN78" t="s">
        <v>66</v>
      </c>
      <c r="AO78" s="7" t="s">
        <v>50</v>
      </c>
      <c r="AP78" s="12" t="s">
        <v>58</v>
      </c>
    </row>
    <row r="79" spans="1:42" x14ac:dyDescent="0.3">
      <c r="A79" s="7" t="s">
        <v>63</v>
      </c>
      <c r="B79" s="7" t="s">
        <v>64</v>
      </c>
      <c r="C79" s="7" t="s">
        <v>50</v>
      </c>
      <c r="D79" t="str">
        <f t="shared" ca="1" si="18"/>
        <v>""</v>
      </c>
      <c r="E79" s="14">
        <f t="shared" ca="1" si="23"/>
        <v>0</v>
      </c>
      <c r="F79" s="6">
        <f t="shared" ca="1" si="24"/>
        <v>0</v>
      </c>
      <c r="G79" t="s">
        <v>65</v>
      </c>
      <c r="H79" t="str">
        <f t="shared" ca="1" si="19"/>
        <v>""</v>
      </c>
      <c r="I79" s="9">
        <f t="shared" ca="1" si="25"/>
        <v>0</v>
      </c>
      <c r="J79" s="14">
        <f t="shared" ca="1" si="26"/>
        <v>0</v>
      </c>
      <c r="K79" s="14">
        <f t="shared" ca="1" si="26"/>
        <v>0</v>
      </c>
      <c r="L79" s="9">
        <v>0</v>
      </c>
      <c r="M79" t="str">
        <f ca="1">Quotes&amp;Format!N83&amp;UPPER(INDIRECT(M$1,TRUE))&amp;Quotes</f>
        <v>""</v>
      </c>
      <c r="N79" t="str">
        <f t="shared" ca="1" si="20"/>
        <v>","</v>
      </c>
      <c r="O79" t="s">
        <v>66</v>
      </c>
      <c r="P79" t="str">
        <f t="shared" ca="1" si="14"/>
        <v>""</v>
      </c>
      <c r="Q79" t="str">
        <f t="shared" ca="1" si="14"/>
        <v>""</v>
      </c>
      <c r="R79" t="str">
        <f t="shared" ca="1" si="14"/>
        <v>""</v>
      </c>
      <c r="S79" t="str">
        <f t="shared" ca="1" si="14"/>
        <v>""</v>
      </c>
      <c r="T79" t="s">
        <v>66</v>
      </c>
      <c r="U79" s="11" t="s">
        <v>50</v>
      </c>
      <c r="V79" s="7" t="s">
        <v>67</v>
      </c>
      <c r="W79" s="11" t="s">
        <v>50</v>
      </c>
      <c r="X79" t="str">
        <f t="shared" ca="1" si="21"/>
        <v>"P20"</v>
      </c>
      <c r="Y79" s="9">
        <f t="shared" ca="1" si="27"/>
        <v>0</v>
      </c>
      <c r="Z79" s="9">
        <f t="shared" ca="1" si="27"/>
        <v>0</v>
      </c>
      <c r="AA79" s="6" t="s">
        <v>45</v>
      </c>
      <c r="AB79" s="13" t="s">
        <v>50</v>
      </c>
      <c r="AC79" s="7" t="s">
        <v>68</v>
      </c>
      <c r="AD79" s="13" t="s">
        <v>50</v>
      </c>
      <c r="AE79" s="6">
        <f t="shared" ca="1" si="28"/>
        <v>0</v>
      </c>
      <c r="AF79" t="str">
        <f t="shared" ca="1" si="17"/>
        <v>"1"</v>
      </c>
      <c r="AG79" t="str">
        <f t="shared" ca="1" si="17"/>
        <v>"1001.X710.X"</v>
      </c>
      <c r="AH79" s="14">
        <f t="shared" ca="1" si="29"/>
        <v>42277</v>
      </c>
      <c r="AI79" s="6" t="s">
        <v>45</v>
      </c>
      <c r="AJ79" t="str">
        <f t="shared" ca="1" si="22"/>
        <v>""</v>
      </c>
      <c r="AK79" t="str">
        <f t="shared" ca="1" si="22"/>
        <v>""</v>
      </c>
      <c r="AL79" t="str">
        <f t="shared" ca="1" si="22"/>
        <v>"P20"</v>
      </c>
      <c r="AM79" t="s">
        <v>66</v>
      </c>
      <c r="AN79" t="s">
        <v>66</v>
      </c>
      <c r="AO79" s="7" t="s">
        <v>50</v>
      </c>
      <c r="AP79" s="12" t="s">
        <v>58</v>
      </c>
    </row>
    <row r="80" spans="1:42" x14ac:dyDescent="0.3">
      <c r="A80" s="7" t="s">
        <v>63</v>
      </c>
      <c r="B80" s="7" t="s">
        <v>64</v>
      </c>
      <c r="C80" s="7" t="s">
        <v>50</v>
      </c>
      <c r="D80" t="str">
        <f t="shared" ca="1" si="18"/>
        <v>""</v>
      </c>
      <c r="E80" s="14">
        <f t="shared" ca="1" si="23"/>
        <v>0</v>
      </c>
      <c r="F80" s="6">
        <f t="shared" ca="1" si="24"/>
        <v>0</v>
      </c>
      <c r="G80" t="s">
        <v>65</v>
      </c>
      <c r="H80" t="str">
        <f t="shared" ca="1" si="19"/>
        <v>""</v>
      </c>
      <c r="I80" s="9">
        <f t="shared" ca="1" si="25"/>
        <v>0</v>
      </c>
      <c r="J80" s="14">
        <f t="shared" ca="1" si="26"/>
        <v>0</v>
      </c>
      <c r="K80" s="14">
        <f t="shared" ca="1" si="26"/>
        <v>0</v>
      </c>
      <c r="L80" s="9">
        <v>0</v>
      </c>
      <c r="M80" t="str">
        <f ca="1">Quotes&amp;Format!N84&amp;UPPER(INDIRECT(M$1,TRUE))&amp;Quotes</f>
        <v>""</v>
      </c>
      <c r="N80" t="str">
        <f t="shared" ca="1" si="20"/>
        <v>","</v>
      </c>
      <c r="O80" t="s">
        <v>66</v>
      </c>
      <c r="P80" t="str">
        <f t="shared" ca="1" si="14"/>
        <v>""</v>
      </c>
      <c r="Q80" t="str">
        <f t="shared" ca="1" si="14"/>
        <v>""</v>
      </c>
      <c r="R80" t="str">
        <f t="shared" ca="1" si="14"/>
        <v>""</v>
      </c>
      <c r="S80" t="str">
        <f t="shared" ca="1" si="14"/>
        <v>""</v>
      </c>
      <c r="T80" t="s">
        <v>66</v>
      </c>
      <c r="U80" s="11" t="s">
        <v>50</v>
      </c>
      <c r="V80" s="7" t="s">
        <v>67</v>
      </c>
      <c r="W80" s="11" t="s">
        <v>50</v>
      </c>
      <c r="X80" t="str">
        <f t="shared" ca="1" si="21"/>
        <v>"P20"</v>
      </c>
      <c r="Y80" s="9">
        <f t="shared" ca="1" si="27"/>
        <v>0</v>
      </c>
      <c r="Z80" s="9">
        <f t="shared" ca="1" si="27"/>
        <v>0</v>
      </c>
      <c r="AA80" s="6" t="s">
        <v>45</v>
      </c>
      <c r="AB80" s="13" t="s">
        <v>50</v>
      </c>
      <c r="AC80" s="7" t="s">
        <v>68</v>
      </c>
      <c r="AD80" s="13" t="s">
        <v>50</v>
      </c>
      <c r="AE80" s="6">
        <f t="shared" ca="1" si="28"/>
        <v>0</v>
      </c>
      <c r="AF80" t="str">
        <f t="shared" ca="1" si="17"/>
        <v>"1"</v>
      </c>
      <c r="AG80" t="str">
        <f t="shared" ca="1" si="17"/>
        <v>"1001.X710.X"</v>
      </c>
      <c r="AH80" s="14">
        <f t="shared" ca="1" si="29"/>
        <v>42277</v>
      </c>
      <c r="AI80" s="6" t="s">
        <v>45</v>
      </c>
      <c r="AJ80" t="str">
        <f t="shared" ca="1" si="22"/>
        <v>""</v>
      </c>
      <c r="AK80" t="str">
        <f t="shared" ca="1" si="22"/>
        <v>""</v>
      </c>
      <c r="AL80" t="str">
        <f t="shared" ca="1" si="22"/>
        <v>"P20"</v>
      </c>
      <c r="AM80" t="s">
        <v>66</v>
      </c>
      <c r="AN80" t="s">
        <v>66</v>
      </c>
      <c r="AO80" s="7" t="s">
        <v>50</v>
      </c>
      <c r="AP80" s="12" t="s">
        <v>58</v>
      </c>
    </row>
    <row r="81" spans="1:42" x14ac:dyDescent="0.3">
      <c r="A81" s="7" t="s">
        <v>63</v>
      </c>
      <c r="B81" s="7" t="s">
        <v>64</v>
      </c>
      <c r="C81" s="7" t="s">
        <v>50</v>
      </c>
      <c r="D81" t="str">
        <f t="shared" ca="1" si="18"/>
        <v>""</v>
      </c>
      <c r="E81" s="14">
        <f t="shared" ca="1" si="23"/>
        <v>0</v>
      </c>
      <c r="F81" s="6">
        <f t="shared" ca="1" si="24"/>
        <v>0</v>
      </c>
      <c r="G81" t="s">
        <v>65</v>
      </c>
      <c r="H81" t="str">
        <f t="shared" ca="1" si="19"/>
        <v>""</v>
      </c>
      <c r="I81" s="9">
        <f t="shared" ca="1" si="25"/>
        <v>0</v>
      </c>
      <c r="J81" s="14">
        <f t="shared" ca="1" si="26"/>
        <v>0</v>
      </c>
      <c r="K81" s="14">
        <f t="shared" ca="1" si="26"/>
        <v>0</v>
      </c>
      <c r="L81" s="9">
        <v>0</v>
      </c>
      <c r="M81" t="str">
        <f ca="1">Quotes&amp;Format!N85&amp;UPPER(INDIRECT(M$1,TRUE))&amp;Quotes</f>
        <v>""</v>
      </c>
      <c r="N81" t="str">
        <f t="shared" ca="1" si="20"/>
        <v>","</v>
      </c>
      <c r="O81" t="s">
        <v>66</v>
      </c>
      <c r="P81" t="str">
        <f t="shared" ca="1" si="14"/>
        <v>""</v>
      </c>
      <c r="Q81" t="str">
        <f t="shared" ca="1" si="14"/>
        <v>""</v>
      </c>
      <c r="R81" t="str">
        <f t="shared" ca="1" si="14"/>
        <v>""</v>
      </c>
      <c r="S81" t="str">
        <f t="shared" ca="1" si="14"/>
        <v>""</v>
      </c>
      <c r="T81" t="s">
        <v>66</v>
      </c>
      <c r="U81" s="11" t="s">
        <v>50</v>
      </c>
      <c r="V81" s="7" t="s">
        <v>67</v>
      </c>
      <c r="W81" s="11" t="s">
        <v>50</v>
      </c>
      <c r="X81" t="str">
        <f t="shared" ca="1" si="21"/>
        <v>"P20"</v>
      </c>
      <c r="Y81" s="9">
        <f t="shared" ca="1" si="27"/>
        <v>0</v>
      </c>
      <c r="Z81" s="9">
        <f t="shared" ca="1" si="27"/>
        <v>0</v>
      </c>
      <c r="AA81" s="6" t="s">
        <v>45</v>
      </c>
      <c r="AB81" s="13" t="s">
        <v>50</v>
      </c>
      <c r="AC81" s="7" t="s">
        <v>68</v>
      </c>
      <c r="AD81" s="13" t="s">
        <v>50</v>
      </c>
      <c r="AE81" s="6">
        <f t="shared" ca="1" si="28"/>
        <v>0</v>
      </c>
      <c r="AF81" t="str">
        <f t="shared" ca="1" si="17"/>
        <v>"1"</v>
      </c>
      <c r="AG81" t="str">
        <f t="shared" ca="1" si="17"/>
        <v>"1001.X710.X"</v>
      </c>
      <c r="AH81" s="14">
        <f t="shared" ca="1" si="29"/>
        <v>42277</v>
      </c>
      <c r="AI81" s="6" t="s">
        <v>45</v>
      </c>
      <c r="AJ81" t="str">
        <f t="shared" ca="1" si="22"/>
        <v>""</v>
      </c>
      <c r="AK81" t="str">
        <f t="shared" ca="1" si="22"/>
        <v>""</v>
      </c>
      <c r="AL81" t="str">
        <f t="shared" ca="1" si="22"/>
        <v>"P20"</v>
      </c>
      <c r="AM81" t="s">
        <v>66</v>
      </c>
      <c r="AN81" t="s">
        <v>66</v>
      </c>
      <c r="AO81" s="7" t="s">
        <v>50</v>
      </c>
      <c r="AP81" s="12" t="s">
        <v>58</v>
      </c>
    </row>
    <row r="82" spans="1:42" x14ac:dyDescent="0.3">
      <c r="A82" s="7" t="s">
        <v>63</v>
      </c>
      <c r="B82" s="7" t="s">
        <v>64</v>
      </c>
      <c r="C82" s="7" t="s">
        <v>50</v>
      </c>
      <c r="D82" t="str">
        <f t="shared" ca="1" si="18"/>
        <v>""</v>
      </c>
      <c r="E82" s="14">
        <f t="shared" ca="1" si="23"/>
        <v>0</v>
      </c>
      <c r="F82" s="6">
        <f t="shared" ca="1" si="24"/>
        <v>0</v>
      </c>
      <c r="G82" t="s">
        <v>65</v>
      </c>
      <c r="H82" t="str">
        <f t="shared" ca="1" si="19"/>
        <v>""</v>
      </c>
      <c r="I82" s="9">
        <f t="shared" ca="1" si="25"/>
        <v>0</v>
      </c>
      <c r="J82" s="14">
        <f t="shared" ca="1" si="26"/>
        <v>0</v>
      </c>
      <c r="K82" s="14">
        <f t="shared" ca="1" si="26"/>
        <v>0</v>
      </c>
      <c r="L82" s="9">
        <v>0</v>
      </c>
      <c r="M82" t="str">
        <f ca="1">Quotes&amp;Format!N86&amp;UPPER(INDIRECT(M$1,TRUE))&amp;Quotes</f>
        <v>""</v>
      </c>
      <c r="N82" t="str">
        <f t="shared" ca="1" si="20"/>
        <v>","</v>
      </c>
      <c r="O82" t="s">
        <v>66</v>
      </c>
      <c r="P82" t="str">
        <f t="shared" ca="1" si="14"/>
        <v>""</v>
      </c>
      <c r="Q82" t="str">
        <f t="shared" ca="1" si="14"/>
        <v>""</v>
      </c>
      <c r="R82" t="str">
        <f t="shared" ca="1" si="14"/>
        <v>""</v>
      </c>
      <c r="S82" t="str">
        <f t="shared" ca="1" si="14"/>
        <v>""</v>
      </c>
      <c r="T82" t="s">
        <v>66</v>
      </c>
      <c r="U82" s="11" t="s">
        <v>50</v>
      </c>
      <c r="V82" s="7" t="s">
        <v>67</v>
      </c>
      <c r="W82" s="11" t="s">
        <v>50</v>
      </c>
      <c r="X82" t="str">
        <f t="shared" ca="1" si="21"/>
        <v>"P20"</v>
      </c>
      <c r="Y82" s="9">
        <f t="shared" ca="1" si="27"/>
        <v>0</v>
      </c>
      <c r="Z82" s="9">
        <f t="shared" ca="1" si="27"/>
        <v>0</v>
      </c>
      <c r="AA82" s="6" t="s">
        <v>45</v>
      </c>
      <c r="AB82" s="13" t="s">
        <v>50</v>
      </c>
      <c r="AC82" s="7" t="s">
        <v>68</v>
      </c>
      <c r="AD82" s="13" t="s">
        <v>50</v>
      </c>
      <c r="AE82" s="6">
        <f t="shared" ca="1" si="28"/>
        <v>0</v>
      </c>
      <c r="AF82" t="str">
        <f t="shared" ca="1" si="17"/>
        <v>"1"</v>
      </c>
      <c r="AG82" t="str">
        <f t="shared" ca="1" si="17"/>
        <v>"1001.X710.X"</v>
      </c>
      <c r="AH82" s="14">
        <f t="shared" ca="1" si="29"/>
        <v>42277</v>
      </c>
      <c r="AI82" s="6" t="s">
        <v>45</v>
      </c>
      <c r="AJ82" t="str">
        <f t="shared" ca="1" si="22"/>
        <v>""</v>
      </c>
      <c r="AK82" t="str">
        <f t="shared" ca="1" si="22"/>
        <v>""</v>
      </c>
      <c r="AL82" t="str">
        <f t="shared" ca="1" si="22"/>
        <v>"P20"</v>
      </c>
      <c r="AM82" t="s">
        <v>66</v>
      </c>
      <c r="AN82" t="s">
        <v>66</v>
      </c>
      <c r="AO82" s="7" t="s">
        <v>50</v>
      </c>
      <c r="AP82" s="12" t="s">
        <v>58</v>
      </c>
    </row>
    <row r="83" spans="1:42" x14ac:dyDescent="0.3">
      <c r="A83" s="7" t="s">
        <v>63</v>
      </c>
      <c r="B83" s="7" t="s">
        <v>64</v>
      </c>
      <c r="C83" s="7" t="s">
        <v>50</v>
      </c>
      <c r="D83" t="str">
        <f t="shared" ca="1" si="18"/>
        <v>""</v>
      </c>
      <c r="E83" s="14">
        <f t="shared" ca="1" si="23"/>
        <v>0</v>
      </c>
      <c r="F83" s="6">
        <f t="shared" ca="1" si="24"/>
        <v>0</v>
      </c>
      <c r="G83" t="s">
        <v>65</v>
      </c>
      <c r="H83" t="str">
        <f t="shared" ca="1" si="19"/>
        <v>""</v>
      </c>
      <c r="I83" s="9">
        <f t="shared" ca="1" si="25"/>
        <v>0</v>
      </c>
      <c r="J83" s="14">
        <f t="shared" ca="1" si="26"/>
        <v>0</v>
      </c>
      <c r="K83" s="14">
        <f t="shared" ca="1" si="26"/>
        <v>0</v>
      </c>
      <c r="L83" s="9">
        <v>0</v>
      </c>
      <c r="M83" t="str">
        <f ca="1">Quotes&amp;Format!N87&amp;UPPER(INDIRECT(M$1,TRUE))&amp;Quotes</f>
        <v>""</v>
      </c>
      <c r="N83" t="str">
        <f t="shared" ca="1" si="20"/>
        <v>","</v>
      </c>
      <c r="O83" t="s">
        <v>66</v>
      </c>
      <c r="P83" t="str">
        <f t="shared" ca="1" si="14"/>
        <v>""</v>
      </c>
      <c r="Q83" t="str">
        <f t="shared" ca="1" si="14"/>
        <v>""</v>
      </c>
      <c r="R83" t="str">
        <f t="shared" ca="1" si="14"/>
        <v>""</v>
      </c>
      <c r="S83" t="str">
        <f t="shared" ref="P83:S125" ca="1" si="30">Quotes&amp;IF(INDIRECT(S$1,TRUE)="","""",UPPER(INDIRECT(S$1,TRUE))&amp;Quotes)</f>
        <v>""</v>
      </c>
      <c r="T83" t="s">
        <v>66</v>
      </c>
      <c r="U83" s="11" t="s">
        <v>50</v>
      </c>
      <c r="V83" s="7" t="s">
        <v>67</v>
      </c>
      <c r="W83" s="11" t="s">
        <v>50</v>
      </c>
      <c r="X83" t="str">
        <f t="shared" ca="1" si="21"/>
        <v>"P20"</v>
      </c>
      <c r="Y83" s="9">
        <f t="shared" ca="1" si="27"/>
        <v>0</v>
      </c>
      <c r="Z83" s="9">
        <f t="shared" ca="1" si="27"/>
        <v>0</v>
      </c>
      <c r="AA83" s="6" t="s">
        <v>45</v>
      </c>
      <c r="AB83" s="13" t="s">
        <v>50</v>
      </c>
      <c r="AC83" s="7" t="s">
        <v>68</v>
      </c>
      <c r="AD83" s="13" t="s">
        <v>50</v>
      </c>
      <c r="AE83" s="6">
        <f t="shared" ca="1" si="28"/>
        <v>0</v>
      </c>
      <c r="AF83" t="str">
        <f t="shared" ca="1" si="17"/>
        <v>"1"</v>
      </c>
      <c r="AG83" t="str">
        <f t="shared" ca="1" si="17"/>
        <v>"1001.X710.X"</v>
      </c>
      <c r="AH83" s="14">
        <f t="shared" ca="1" si="29"/>
        <v>42277</v>
      </c>
      <c r="AI83" s="6" t="s">
        <v>45</v>
      </c>
      <c r="AJ83" t="str">
        <f t="shared" ca="1" si="22"/>
        <v>""</v>
      </c>
      <c r="AK83" t="str">
        <f t="shared" ca="1" si="22"/>
        <v>""</v>
      </c>
      <c r="AL83" t="str">
        <f t="shared" ca="1" si="22"/>
        <v>"P20"</v>
      </c>
      <c r="AM83" t="s">
        <v>66</v>
      </c>
      <c r="AN83" t="s">
        <v>66</v>
      </c>
      <c r="AO83" s="7" t="s">
        <v>50</v>
      </c>
      <c r="AP83" s="12" t="s">
        <v>58</v>
      </c>
    </row>
    <row r="84" spans="1:42" x14ac:dyDescent="0.3">
      <c r="A84" s="7" t="s">
        <v>63</v>
      </c>
      <c r="B84" s="7" t="s">
        <v>64</v>
      </c>
      <c r="C84" s="7" t="s">
        <v>50</v>
      </c>
      <c r="D84" t="str">
        <f t="shared" ca="1" si="18"/>
        <v>""</v>
      </c>
      <c r="E84" s="14">
        <f t="shared" ca="1" si="23"/>
        <v>0</v>
      </c>
      <c r="F84" s="6">
        <f t="shared" ca="1" si="24"/>
        <v>0</v>
      </c>
      <c r="G84" t="s">
        <v>65</v>
      </c>
      <c r="H84" t="str">
        <f t="shared" ca="1" si="19"/>
        <v>""</v>
      </c>
      <c r="I84" s="9">
        <f t="shared" ca="1" si="25"/>
        <v>0</v>
      </c>
      <c r="J84" s="14">
        <f t="shared" ca="1" si="26"/>
        <v>0</v>
      </c>
      <c r="K84" s="14">
        <f t="shared" ca="1" si="26"/>
        <v>0</v>
      </c>
      <c r="L84" s="9">
        <v>0</v>
      </c>
      <c r="M84" t="str">
        <f ca="1">Quotes&amp;Format!N88&amp;UPPER(INDIRECT(M$1,TRUE))&amp;Quotes</f>
        <v>""</v>
      </c>
      <c r="N84" t="str">
        <f t="shared" ca="1" si="20"/>
        <v>","</v>
      </c>
      <c r="O84" t="s">
        <v>66</v>
      </c>
      <c r="P84" t="str">
        <f t="shared" ca="1" si="30"/>
        <v>""</v>
      </c>
      <c r="Q84" t="str">
        <f t="shared" ca="1" si="30"/>
        <v>""</v>
      </c>
      <c r="R84" t="str">
        <f t="shared" ca="1" si="30"/>
        <v>""</v>
      </c>
      <c r="S84" t="str">
        <f t="shared" ca="1" si="30"/>
        <v>""</v>
      </c>
      <c r="T84" t="s">
        <v>66</v>
      </c>
      <c r="U84" s="11" t="s">
        <v>50</v>
      </c>
      <c r="V84" s="7" t="s">
        <v>67</v>
      </c>
      <c r="W84" s="11" t="s">
        <v>50</v>
      </c>
      <c r="X84" t="str">
        <f t="shared" ca="1" si="21"/>
        <v>"P20"</v>
      </c>
      <c r="Y84" s="9">
        <f t="shared" ca="1" si="27"/>
        <v>0</v>
      </c>
      <c r="Z84" s="9">
        <f t="shared" ca="1" si="27"/>
        <v>0</v>
      </c>
      <c r="AA84" s="6" t="s">
        <v>45</v>
      </c>
      <c r="AB84" s="13" t="s">
        <v>50</v>
      </c>
      <c r="AC84" s="7" t="s">
        <v>68</v>
      </c>
      <c r="AD84" s="13" t="s">
        <v>50</v>
      </c>
      <c r="AE84" s="6">
        <f t="shared" ca="1" si="28"/>
        <v>0</v>
      </c>
      <c r="AF84" t="str">
        <f t="shared" ref="AF84:AG103" ca="1" si="31">Quotes&amp;IF(INDIRECT(AF$1,TRUE)="","""",UPPER(INDIRECT(AF$1,TRUE))&amp;Quotes)</f>
        <v>"1"</v>
      </c>
      <c r="AG84" t="str">
        <f t="shared" ca="1" si="31"/>
        <v>"1001.X710.X"</v>
      </c>
      <c r="AH84" s="14">
        <f t="shared" ca="1" si="29"/>
        <v>42277</v>
      </c>
      <c r="AI84" s="6" t="s">
        <v>45</v>
      </c>
      <c r="AJ84" t="str">
        <f t="shared" ca="1" si="22"/>
        <v>""</v>
      </c>
      <c r="AK84" t="str">
        <f t="shared" ca="1" si="22"/>
        <v>""</v>
      </c>
      <c r="AL84" t="str">
        <f t="shared" ca="1" si="22"/>
        <v>"P20"</v>
      </c>
      <c r="AM84" t="s">
        <v>66</v>
      </c>
      <c r="AN84" t="s">
        <v>66</v>
      </c>
      <c r="AO84" s="7" t="s">
        <v>50</v>
      </c>
      <c r="AP84" s="12" t="s">
        <v>58</v>
      </c>
    </row>
    <row r="85" spans="1:42" x14ac:dyDescent="0.3">
      <c r="A85" s="7" t="s">
        <v>63</v>
      </c>
      <c r="B85" s="7" t="s">
        <v>64</v>
      </c>
      <c r="C85" s="7" t="s">
        <v>50</v>
      </c>
      <c r="D85" t="str">
        <f t="shared" ca="1" si="18"/>
        <v>""</v>
      </c>
      <c r="E85" s="14">
        <f t="shared" ca="1" si="23"/>
        <v>0</v>
      </c>
      <c r="F85" s="6">
        <f t="shared" ca="1" si="24"/>
        <v>0</v>
      </c>
      <c r="G85" t="s">
        <v>65</v>
      </c>
      <c r="H85" t="str">
        <f t="shared" ca="1" si="19"/>
        <v>""</v>
      </c>
      <c r="I85" s="9">
        <f t="shared" ca="1" si="25"/>
        <v>0</v>
      </c>
      <c r="J85" s="14">
        <f t="shared" ca="1" si="26"/>
        <v>0</v>
      </c>
      <c r="K85" s="14">
        <f t="shared" ca="1" si="26"/>
        <v>0</v>
      </c>
      <c r="L85" s="9">
        <v>0</v>
      </c>
      <c r="M85" t="str">
        <f ca="1">Quotes&amp;Format!N89&amp;UPPER(INDIRECT(M$1,TRUE))&amp;Quotes</f>
        <v>""</v>
      </c>
      <c r="N85" t="str">
        <f t="shared" ca="1" si="20"/>
        <v>","</v>
      </c>
      <c r="O85" t="s">
        <v>66</v>
      </c>
      <c r="P85" t="str">
        <f t="shared" ca="1" si="30"/>
        <v>""</v>
      </c>
      <c r="Q85" t="str">
        <f t="shared" ca="1" si="30"/>
        <v>""</v>
      </c>
      <c r="R85" t="str">
        <f t="shared" ca="1" si="30"/>
        <v>""</v>
      </c>
      <c r="S85" t="str">
        <f t="shared" ca="1" si="30"/>
        <v>""</v>
      </c>
      <c r="T85" t="s">
        <v>66</v>
      </c>
      <c r="U85" s="11" t="s">
        <v>50</v>
      </c>
      <c r="V85" s="7" t="s">
        <v>67</v>
      </c>
      <c r="W85" s="11" t="s">
        <v>50</v>
      </c>
      <c r="X85" t="str">
        <f t="shared" ca="1" si="21"/>
        <v>"P20"</v>
      </c>
      <c r="Y85" s="9">
        <f t="shared" ca="1" si="27"/>
        <v>0</v>
      </c>
      <c r="Z85" s="9">
        <f t="shared" ca="1" si="27"/>
        <v>0</v>
      </c>
      <c r="AA85" s="6" t="s">
        <v>45</v>
      </c>
      <c r="AB85" s="13" t="s">
        <v>50</v>
      </c>
      <c r="AC85" s="7" t="s">
        <v>68</v>
      </c>
      <c r="AD85" s="13" t="s">
        <v>50</v>
      </c>
      <c r="AE85" s="6">
        <f t="shared" ca="1" si="28"/>
        <v>0</v>
      </c>
      <c r="AF85" t="str">
        <f t="shared" ca="1" si="31"/>
        <v>"1"</v>
      </c>
      <c r="AG85" t="str">
        <f t="shared" ca="1" si="31"/>
        <v>"1001.X710.X"</v>
      </c>
      <c r="AH85" s="14">
        <f t="shared" ca="1" si="29"/>
        <v>42277</v>
      </c>
      <c r="AI85" s="6" t="s">
        <v>45</v>
      </c>
      <c r="AJ85" t="str">
        <f t="shared" ca="1" si="22"/>
        <v>""</v>
      </c>
      <c r="AK85" t="str">
        <f t="shared" ca="1" si="22"/>
        <v>""</v>
      </c>
      <c r="AL85" t="str">
        <f t="shared" ca="1" si="22"/>
        <v>"P20"</v>
      </c>
      <c r="AM85" t="s">
        <v>66</v>
      </c>
      <c r="AN85" t="s">
        <v>66</v>
      </c>
      <c r="AO85" s="7" t="s">
        <v>50</v>
      </c>
      <c r="AP85" s="12" t="s">
        <v>58</v>
      </c>
    </row>
    <row r="86" spans="1:42" x14ac:dyDescent="0.3">
      <c r="A86" s="7" t="s">
        <v>63</v>
      </c>
      <c r="B86" s="7" t="s">
        <v>64</v>
      </c>
      <c r="C86" s="7" t="s">
        <v>50</v>
      </c>
      <c r="D86" t="str">
        <f t="shared" ca="1" si="18"/>
        <v>""</v>
      </c>
      <c r="E86" s="14">
        <f t="shared" ca="1" si="23"/>
        <v>0</v>
      </c>
      <c r="F86" s="6">
        <f t="shared" ca="1" si="24"/>
        <v>0</v>
      </c>
      <c r="G86" t="s">
        <v>65</v>
      </c>
      <c r="H86" t="str">
        <f t="shared" ca="1" si="19"/>
        <v>""</v>
      </c>
      <c r="I86" s="9">
        <f t="shared" ca="1" si="25"/>
        <v>0</v>
      </c>
      <c r="J86" s="14">
        <f t="shared" ca="1" si="26"/>
        <v>0</v>
      </c>
      <c r="K86" s="14">
        <f t="shared" ca="1" si="26"/>
        <v>0</v>
      </c>
      <c r="L86" s="9">
        <v>0</v>
      </c>
      <c r="M86" t="str">
        <f ca="1">Quotes&amp;Format!N90&amp;UPPER(INDIRECT(M$1,TRUE))&amp;Quotes</f>
        <v>""</v>
      </c>
      <c r="N86" t="str">
        <f t="shared" ca="1" si="20"/>
        <v>","</v>
      </c>
      <c r="O86" t="s">
        <v>66</v>
      </c>
      <c r="P86" t="str">
        <f t="shared" ca="1" si="30"/>
        <v>""</v>
      </c>
      <c r="Q86" t="str">
        <f t="shared" ca="1" si="30"/>
        <v>""</v>
      </c>
      <c r="R86" t="str">
        <f t="shared" ca="1" si="30"/>
        <v>""</v>
      </c>
      <c r="S86" t="str">
        <f t="shared" ca="1" si="30"/>
        <v>""</v>
      </c>
      <c r="T86" t="s">
        <v>66</v>
      </c>
      <c r="U86" s="11" t="s">
        <v>50</v>
      </c>
      <c r="V86" s="7" t="s">
        <v>67</v>
      </c>
      <c r="W86" s="11" t="s">
        <v>50</v>
      </c>
      <c r="X86" t="str">
        <f t="shared" ca="1" si="21"/>
        <v>"P20"</v>
      </c>
      <c r="Y86" s="9">
        <f t="shared" ca="1" si="27"/>
        <v>0</v>
      </c>
      <c r="Z86" s="9">
        <f t="shared" ca="1" si="27"/>
        <v>0</v>
      </c>
      <c r="AA86" s="6" t="s">
        <v>45</v>
      </c>
      <c r="AB86" s="13" t="s">
        <v>50</v>
      </c>
      <c r="AC86" s="7" t="s">
        <v>68</v>
      </c>
      <c r="AD86" s="13" t="s">
        <v>50</v>
      </c>
      <c r="AE86" s="6">
        <f t="shared" ca="1" si="28"/>
        <v>0</v>
      </c>
      <c r="AF86" t="str">
        <f t="shared" ca="1" si="31"/>
        <v>"1"</v>
      </c>
      <c r="AG86" t="str">
        <f t="shared" ca="1" si="31"/>
        <v>"1001.X710.X"</v>
      </c>
      <c r="AH86" s="14">
        <f t="shared" ca="1" si="29"/>
        <v>42277</v>
      </c>
      <c r="AI86" s="6" t="s">
        <v>45</v>
      </c>
      <c r="AJ86" t="str">
        <f t="shared" ca="1" si="22"/>
        <v>""</v>
      </c>
      <c r="AK86" t="str">
        <f t="shared" ca="1" si="22"/>
        <v>""</v>
      </c>
      <c r="AL86" t="str">
        <f t="shared" ca="1" si="22"/>
        <v>"P20"</v>
      </c>
      <c r="AM86" t="s">
        <v>66</v>
      </c>
      <c r="AN86" t="s">
        <v>66</v>
      </c>
      <c r="AO86" s="7" t="s">
        <v>50</v>
      </c>
      <c r="AP86" s="12" t="s">
        <v>58</v>
      </c>
    </row>
    <row r="87" spans="1:42" x14ac:dyDescent="0.3">
      <c r="A87" s="7" t="s">
        <v>63</v>
      </c>
      <c r="B87" s="7" t="s">
        <v>64</v>
      </c>
      <c r="C87" s="7" t="s">
        <v>50</v>
      </c>
      <c r="D87" t="str">
        <f t="shared" ca="1" si="18"/>
        <v>""</v>
      </c>
      <c r="E87" s="14">
        <f t="shared" ca="1" si="23"/>
        <v>0</v>
      </c>
      <c r="F87" s="6">
        <f t="shared" ca="1" si="24"/>
        <v>0</v>
      </c>
      <c r="G87" t="s">
        <v>65</v>
      </c>
      <c r="H87" t="str">
        <f t="shared" ca="1" si="19"/>
        <v>""</v>
      </c>
      <c r="I87" s="9">
        <f t="shared" ca="1" si="25"/>
        <v>0</v>
      </c>
      <c r="J87" s="14">
        <f t="shared" ca="1" si="26"/>
        <v>0</v>
      </c>
      <c r="K87" s="14">
        <f t="shared" ca="1" si="26"/>
        <v>0</v>
      </c>
      <c r="L87" s="9">
        <v>0</v>
      </c>
      <c r="M87" t="str">
        <f ca="1">Quotes&amp;Format!N91&amp;UPPER(INDIRECT(M$1,TRUE))&amp;Quotes</f>
        <v>""</v>
      </c>
      <c r="N87" t="str">
        <f t="shared" ca="1" si="20"/>
        <v>","</v>
      </c>
      <c r="O87" t="s">
        <v>66</v>
      </c>
      <c r="P87" t="str">
        <f t="shared" ca="1" si="30"/>
        <v>""</v>
      </c>
      <c r="Q87" t="str">
        <f t="shared" ca="1" si="30"/>
        <v>""</v>
      </c>
      <c r="R87" t="str">
        <f t="shared" ca="1" si="30"/>
        <v>""</v>
      </c>
      <c r="S87" t="str">
        <f t="shared" ca="1" si="30"/>
        <v>""</v>
      </c>
      <c r="T87" t="s">
        <v>66</v>
      </c>
      <c r="U87" s="11" t="s">
        <v>50</v>
      </c>
      <c r="V87" s="7" t="s">
        <v>67</v>
      </c>
      <c r="W87" s="11" t="s">
        <v>50</v>
      </c>
      <c r="X87" t="str">
        <f t="shared" ca="1" si="21"/>
        <v>"P20"</v>
      </c>
      <c r="Y87" s="9">
        <f t="shared" ca="1" si="27"/>
        <v>0</v>
      </c>
      <c r="Z87" s="9">
        <f t="shared" ca="1" si="27"/>
        <v>0</v>
      </c>
      <c r="AA87" s="6" t="s">
        <v>45</v>
      </c>
      <c r="AB87" s="13" t="s">
        <v>50</v>
      </c>
      <c r="AC87" s="7" t="s">
        <v>68</v>
      </c>
      <c r="AD87" s="13" t="s">
        <v>50</v>
      </c>
      <c r="AE87" s="6">
        <f t="shared" ca="1" si="28"/>
        <v>0</v>
      </c>
      <c r="AF87" t="str">
        <f t="shared" ca="1" si="31"/>
        <v>"1"</v>
      </c>
      <c r="AG87" t="str">
        <f t="shared" ca="1" si="31"/>
        <v>"1001.X710.X"</v>
      </c>
      <c r="AH87" s="14">
        <f t="shared" ca="1" si="29"/>
        <v>42277</v>
      </c>
      <c r="AI87" s="6" t="s">
        <v>45</v>
      </c>
      <c r="AJ87" t="str">
        <f t="shared" ca="1" si="22"/>
        <v>""</v>
      </c>
      <c r="AK87" t="str">
        <f t="shared" ca="1" si="22"/>
        <v>""</v>
      </c>
      <c r="AL87" t="str">
        <f t="shared" ca="1" si="22"/>
        <v>"P20"</v>
      </c>
      <c r="AM87" t="s">
        <v>66</v>
      </c>
      <c r="AN87" t="s">
        <v>66</v>
      </c>
      <c r="AO87" s="7" t="s">
        <v>50</v>
      </c>
      <c r="AP87" s="12" t="s">
        <v>58</v>
      </c>
    </row>
    <row r="88" spans="1:42" x14ac:dyDescent="0.3">
      <c r="A88" s="7" t="s">
        <v>63</v>
      </c>
      <c r="B88" s="7" t="s">
        <v>64</v>
      </c>
      <c r="C88" s="7" t="s">
        <v>50</v>
      </c>
      <c r="D88" t="str">
        <f t="shared" ca="1" si="18"/>
        <v>""</v>
      </c>
      <c r="E88" s="14">
        <f t="shared" ca="1" si="23"/>
        <v>0</v>
      </c>
      <c r="F88" s="6">
        <f t="shared" ca="1" si="24"/>
        <v>0</v>
      </c>
      <c r="G88" t="s">
        <v>65</v>
      </c>
      <c r="H88" t="str">
        <f t="shared" ca="1" si="19"/>
        <v>""</v>
      </c>
      <c r="I88" s="9">
        <f t="shared" ca="1" si="25"/>
        <v>0</v>
      </c>
      <c r="J88" s="14">
        <f t="shared" ca="1" si="26"/>
        <v>0</v>
      </c>
      <c r="K88" s="14">
        <f t="shared" ca="1" si="26"/>
        <v>0</v>
      </c>
      <c r="L88" s="9">
        <v>0</v>
      </c>
      <c r="M88" t="str">
        <f ca="1">Quotes&amp;Format!N92&amp;UPPER(INDIRECT(M$1,TRUE))&amp;Quotes</f>
        <v>""</v>
      </c>
      <c r="N88" t="str">
        <f t="shared" ca="1" si="20"/>
        <v>","</v>
      </c>
      <c r="O88" t="s">
        <v>66</v>
      </c>
      <c r="P88" t="str">
        <f t="shared" ca="1" si="30"/>
        <v>""</v>
      </c>
      <c r="Q88" t="str">
        <f t="shared" ca="1" si="30"/>
        <v>""</v>
      </c>
      <c r="R88" t="str">
        <f t="shared" ca="1" si="30"/>
        <v>""</v>
      </c>
      <c r="S88" t="str">
        <f t="shared" ca="1" si="30"/>
        <v>""</v>
      </c>
      <c r="T88" t="s">
        <v>66</v>
      </c>
      <c r="U88" s="11" t="s">
        <v>50</v>
      </c>
      <c r="V88" s="7" t="s">
        <v>67</v>
      </c>
      <c r="W88" s="11" t="s">
        <v>50</v>
      </c>
      <c r="X88" t="str">
        <f t="shared" ca="1" si="21"/>
        <v>"P20"</v>
      </c>
      <c r="Y88" s="9">
        <f t="shared" ca="1" si="27"/>
        <v>0</v>
      </c>
      <c r="Z88" s="9">
        <f t="shared" ca="1" si="27"/>
        <v>0</v>
      </c>
      <c r="AA88" s="6" t="s">
        <v>45</v>
      </c>
      <c r="AB88" s="13" t="s">
        <v>50</v>
      </c>
      <c r="AC88" s="7" t="s">
        <v>68</v>
      </c>
      <c r="AD88" s="13" t="s">
        <v>50</v>
      </c>
      <c r="AE88" s="6">
        <f t="shared" ca="1" si="28"/>
        <v>0</v>
      </c>
      <c r="AF88" t="str">
        <f t="shared" ca="1" si="31"/>
        <v>"1"</v>
      </c>
      <c r="AG88" t="str">
        <f t="shared" ca="1" si="31"/>
        <v>"1001.X710.X"</v>
      </c>
      <c r="AH88" s="14">
        <f t="shared" ca="1" si="29"/>
        <v>42277</v>
      </c>
      <c r="AI88" s="6" t="s">
        <v>45</v>
      </c>
      <c r="AJ88" t="str">
        <f t="shared" ca="1" si="22"/>
        <v>""</v>
      </c>
      <c r="AK88" t="str">
        <f t="shared" ca="1" si="22"/>
        <v>""</v>
      </c>
      <c r="AL88" t="str">
        <f t="shared" ca="1" si="22"/>
        <v>"P20"</v>
      </c>
      <c r="AM88" t="s">
        <v>66</v>
      </c>
      <c r="AN88" t="s">
        <v>66</v>
      </c>
      <c r="AO88" s="7" t="s">
        <v>50</v>
      </c>
      <c r="AP88" s="12" t="s">
        <v>58</v>
      </c>
    </row>
    <row r="89" spans="1:42" x14ac:dyDescent="0.3">
      <c r="A89" s="7" t="s">
        <v>63</v>
      </c>
      <c r="B89" s="7" t="s">
        <v>64</v>
      </c>
      <c r="C89" s="7" t="s">
        <v>50</v>
      </c>
      <c r="D89" t="str">
        <f t="shared" ca="1" si="18"/>
        <v>""</v>
      </c>
      <c r="E89" s="14">
        <f t="shared" ca="1" si="23"/>
        <v>0</v>
      </c>
      <c r="F89" s="6">
        <f t="shared" ca="1" si="24"/>
        <v>0</v>
      </c>
      <c r="G89" t="s">
        <v>65</v>
      </c>
      <c r="H89" t="str">
        <f t="shared" ca="1" si="19"/>
        <v>""</v>
      </c>
      <c r="I89" s="9">
        <f t="shared" ca="1" si="25"/>
        <v>0</v>
      </c>
      <c r="J89" s="14">
        <f t="shared" ca="1" si="26"/>
        <v>0</v>
      </c>
      <c r="K89" s="14">
        <f t="shared" ca="1" si="26"/>
        <v>0</v>
      </c>
      <c r="L89" s="9">
        <v>0</v>
      </c>
      <c r="M89" t="str">
        <f ca="1">Quotes&amp;Format!N93&amp;UPPER(INDIRECT(M$1,TRUE))&amp;Quotes</f>
        <v>""</v>
      </c>
      <c r="N89" t="str">
        <f t="shared" ca="1" si="20"/>
        <v>","</v>
      </c>
      <c r="O89" t="s">
        <v>66</v>
      </c>
      <c r="P89" t="str">
        <f t="shared" ca="1" si="30"/>
        <v>""</v>
      </c>
      <c r="Q89" t="str">
        <f t="shared" ca="1" si="30"/>
        <v>""</v>
      </c>
      <c r="R89" t="str">
        <f t="shared" ca="1" si="30"/>
        <v>""</v>
      </c>
      <c r="S89" t="str">
        <f t="shared" ca="1" si="30"/>
        <v>""</v>
      </c>
      <c r="T89" t="s">
        <v>66</v>
      </c>
      <c r="U89" s="11" t="s">
        <v>50</v>
      </c>
      <c r="V89" s="7" t="s">
        <v>67</v>
      </c>
      <c r="W89" s="11" t="s">
        <v>50</v>
      </c>
      <c r="X89" t="str">
        <f t="shared" ca="1" si="21"/>
        <v>"P20"</v>
      </c>
      <c r="Y89" s="9">
        <f t="shared" ca="1" si="27"/>
        <v>0</v>
      </c>
      <c r="Z89" s="9">
        <f t="shared" ca="1" si="27"/>
        <v>0</v>
      </c>
      <c r="AA89" s="6" t="s">
        <v>45</v>
      </c>
      <c r="AB89" s="13" t="s">
        <v>50</v>
      </c>
      <c r="AC89" s="7" t="s">
        <v>68</v>
      </c>
      <c r="AD89" s="13" t="s">
        <v>50</v>
      </c>
      <c r="AE89" s="6">
        <f t="shared" ca="1" si="28"/>
        <v>0</v>
      </c>
      <c r="AF89" t="str">
        <f t="shared" ca="1" si="31"/>
        <v>"1"</v>
      </c>
      <c r="AG89" t="str">
        <f t="shared" ca="1" si="31"/>
        <v>"1001.X710.X"</v>
      </c>
      <c r="AH89" s="14">
        <f t="shared" ca="1" si="29"/>
        <v>42277</v>
      </c>
      <c r="AI89" s="6" t="s">
        <v>45</v>
      </c>
      <c r="AJ89" t="str">
        <f t="shared" ca="1" si="22"/>
        <v>""</v>
      </c>
      <c r="AK89" t="str">
        <f t="shared" ca="1" si="22"/>
        <v>""</v>
      </c>
      <c r="AL89" t="str">
        <f t="shared" ca="1" si="22"/>
        <v>"P20"</v>
      </c>
      <c r="AM89" t="s">
        <v>66</v>
      </c>
      <c r="AN89" t="s">
        <v>66</v>
      </c>
      <c r="AO89" s="7" t="s">
        <v>50</v>
      </c>
      <c r="AP89" s="12" t="s">
        <v>58</v>
      </c>
    </row>
    <row r="90" spans="1:42" x14ac:dyDescent="0.3">
      <c r="A90" s="7" t="s">
        <v>63</v>
      </c>
      <c r="B90" s="7" t="s">
        <v>64</v>
      </c>
      <c r="C90" s="7" t="s">
        <v>50</v>
      </c>
      <c r="D90" t="str">
        <f t="shared" ca="1" si="18"/>
        <v>""</v>
      </c>
      <c r="E90" s="14">
        <f t="shared" ca="1" si="23"/>
        <v>0</v>
      </c>
      <c r="F90" s="6">
        <f t="shared" ca="1" si="24"/>
        <v>0</v>
      </c>
      <c r="G90" t="s">
        <v>65</v>
      </c>
      <c r="H90" t="str">
        <f t="shared" ca="1" si="19"/>
        <v>""</v>
      </c>
      <c r="I90" s="9">
        <f t="shared" ca="1" si="25"/>
        <v>0</v>
      </c>
      <c r="J90" s="14">
        <f t="shared" ca="1" si="26"/>
        <v>0</v>
      </c>
      <c r="K90" s="14">
        <f t="shared" ca="1" si="26"/>
        <v>0</v>
      </c>
      <c r="L90" s="9">
        <v>0</v>
      </c>
      <c r="M90" t="str">
        <f ca="1">Quotes&amp;Format!N94&amp;UPPER(INDIRECT(M$1,TRUE))&amp;Quotes</f>
        <v>""</v>
      </c>
      <c r="N90" t="str">
        <f t="shared" ca="1" si="20"/>
        <v>","</v>
      </c>
      <c r="O90" t="s">
        <v>66</v>
      </c>
      <c r="P90" t="str">
        <f t="shared" ca="1" si="30"/>
        <v>""</v>
      </c>
      <c r="Q90" t="str">
        <f t="shared" ca="1" si="30"/>
        <v>""</v>
      </c>
      <c r="R90" t="str">
        <f t="shared" ca="1" si="30"/>
        <v>""</v>
      </c>
      <c r="S90" t="str">
        <f t="shared" ca="1" si="30"/>
        <v>""</v>
      </c>
      <c r="T90" t="s">
        <v>66</v>
      </c>
      <c r="U90" s="11" t="s">
        <v>50</v>
      </c>
      <c r="V90" s="7" t="s">
        <v>67</v>
      </c>
      <c r="W90" s="11" t="s">
        <v>50</v>
      </c>
      <c r="X90" t="str">
        <f t="shared" ca="1" si="21"/>
        <v>"P20"</v>
      </c>
      <c r="Y90" s="9">
        <f t="shared" ca="1" si="27"/>
        <v>0</v>
      </c>
      <c r="Z90" s="9">
        <f t="shared" ca="1" si="27"/>
        <v>0</v>
      </c>
      <c r="AA90" s="6" t="s">
        <v>45</v>
      </c>
      <c r="AB90" s="13" t="s">
        <v>50</v>
      </c>
      <c r="AC90" s="7" t="s">
        <v>68</v>
      </c>
      <c r="AD90" s="13" t="s">
        <v>50</v>
      </c>
      <c r="AE90" s="6">
        <f t="shared" ca="1" si="28"/>
        <v>0</v>
      </c>
      <c r="AF90" t="str">
        <f t="shared" ca="1" si="31"/>
        <v>"1"</v>
      </c>
      <c r="AG90" t="str">
        <f t="shared" ca="1" si="31"/>
        <v>"1001.X710.X"</v>
      </c>
      <c r="AH90" s="14">
        <f t="shared" ca="1" si="29"/>
        <v>42277</v>
      </c>
      <c r="AI90" s="6" t="s">
        <v>45</v>
      </c>
      <c r="AJ90" t="str">
        <f t="shared" ca="1" si="22"/>
        <v>""</v>
      </c>
      <c r="AK90" t="str">
        <f t="shared" ca="1" si="22"/>
        <v>""</v>
      </c>
      <c r="AL90" t="str">
        <f t="shared" ca="1" si="22"/>
        <v>"P20"</v>
      </c>
      <c r="AM90" t="s">
        <v>66</v>
      </c>
      <c r="AN90" t="s">
        <v>66</v>
      </c>
      <c r="AO90" s="7" t="s">
        <v>50</v>
      </c>
      <c r="AP90" s="12" t="s">
        <v>58</v>
      </c>
    </row>
    <row r="91" spans="1:42" x14ac:dyDescent="0.3">
      <c r="A91" s="7" t="s">
        <v>63</v>
      </c>
      <c r="B91" s="7" t="s">
        <v>64</v>
      </c>
      <c r="C91" s="7" t="s">
        <v>50</v>
      </c>
      <c r="D91" t="str">
        <f t="shared" ca="1" si="18"/>
        <v>""</v>
      </c>
      <c r="E91" s="14">
        <f t="shared" ca="1" si="23"/>
        <v>0</v>
      </c>
      <c r="F91" s="6">
        <f t="shared" ca="1" si="24"/>
        <v>0</v>
      </c>
      <c r="G91" t="s">
        <v>65</v>
      </c>
      <c r="H91" t="str">
        <f t="shared" ca="1" si="19"/>
        <v>""</v>
      </c>
      <c r="I91" s="9">
        <f t="shared" ca="1" si="25"/>
        <v>0</v>
      </c>
      <c r="J91" s="14">
        <f t="shared" ca="1" si="26"/>
        <v>0</v>
      </c>
      <c r="K91" s="14">
        <f t="shared" ca="1" si="26"/>
        <v>0</v>
      </c>
      <c r="L91" s="9">
        <v>0</v>
      </c>
      <c r="M91" t="str">
        <f ca="1">Quotes&amp;Format!N95&amp;UPPER(INDIRECT(M$1,TRUE))&amp;Quotes</f>
        <v>""</v>
      </c>
      <c r="N91" t="str">
        <f t="shared" ca="1" si="20"/>
        <v>","</v>
      </c>
      <c r="O91" t="s">
        <v>66</v>
      </c>
      <c r="P91" t="str">
        <f t="shared" ca="1" si="30"/>
        <v>""</v>
      </c>
      <c r="Q91" t="str">
        <f t="shared" ca="1" si="30"/>
        <v>""</v>
      </c>
      <c r="R91" t="str">
        <f t="shared" ca="1" si="30"/>
        <v>""</v>
      </c>
      <c r="S91" t="str">
        <f t="shared" ca="1" si="30"/>
        <v>""</v>
      </c>
      <c r="T91" t="s">
        <v>66</v>
      </c>
      <c r="U91" s="11" t="s">
        <v>50</v>
      </c>
      <c r="V91" s="7" t="s">
        <v>67</v>
      </c>
      <c r="W91" s="11" t="s">
        <v>50</v>
      </c>
      <c r="X91" t="str">
        <f t="shared" ca="1" si="21"/>
        <v>"P20"</v>
      </c>
      <c r="Y91" s="9">
        <f t="shared" ca="1" si="27"/>
        <v>0</v>
      </c>
      <c r="Z91" s="9">
        <f t="shared" ca="1" si="27"/>
        <v>0</v>
      </c>
      <c r="AA91" s="6" t="s">
        <v>45</v>
      </c>
      <c r="AB91" s="13" t="s">
        <v>50</v>
      </c>
      <c r="AC91" s="7" t="s">
        <v>68</v>
      </c>
      <c r="AD91" s="13" t="s">
        <v>50</v>
      </c>
      <c r="AE91" s="6">
        <f t="shared" ca="1" si="28"/>
        <v>0</v>
      </c>
      <c r="AF91" t="str">
        <f t="shared" ca="1" si="31"/>
        <v>"1"</v>
      </c>
      <c r="AG91" t="str">
        <f t="shared" ca="1" si="31"/>
        <v>"1001.X710.X"</v>
      </c>
      <c r="AH91" s="14">
        <f t="shared" ca="1" si="29"/>
        <v>42277</v>
      </c>
      <c r="AI91" s="6" t="s">
        <v>45</v>
      </c>
      <c r="AJ91" t="str">
        <f t="shared" ca="1" si="22"/>
        <v>""</v>
      </c>
      <c r="AK91" t="str">
        <f t="shared" ca="1" si="22"/>
        <v>""</v>
      </c>
      <c r="AL91" t="str">
        <f t="shared" ca="1" si="22"/>
        <v>"P20"</v>
      </c>
      <c r="AM91" t="s">
        <v>66</v>
      </c>
      <c r="AN91" t="s">
        <v>66</v>
      </c>
      <c r="AO91" s="7" t="s">
        <v>50</v>
      </c>
      <c r="AP91" s="12" t="s">
        <v>58</v>
      </c>
    </row>
    <row r="92" spans="1:42" x14ac:dyDescent="0.3">
      <c r="A92" s="7" t="s">
        <v>63</v>
      </c>
      <c r="B92" s="7" t="s">
        <v>64</v>
      </c>
      <c r="C92" s="7" t="s">
        <v>50</v>
      </c>
      <c r="D92" t="str">
        <f t="shared" ca="1" si="18"/>
        <v>""</v>
      </c>
      <c r="E92" s="14">
        <f t="shared" ca="1" si="23"/>
        <v>0</v>
      </c>
      <c r="F92" s="6">
        <f t="shared" ca="1" si="24"/>
        <v>0</v>
      </c>
      <c r="G92" t="s">
        <v>65</v>
      </c>
      <c r="H92" t="str">
        <f t="shared" ca="1" si="19"/>
        <v>""</v>
      </c>
      <c r="I92" s="9">
        <f t="shared" ca="1" si="25"/>
        <v>0</v>
      </c>
      <c r="J92" s="14">
        <f t="shared" ca="1" si="26"/>
        <v>0</v>
      </c>
      <c r="K92" s="14">
        <f t="shared" ca="1" si="26"/>
        <v>0</v>
      </c>
      <c r="L92" s="9">
        <v>0</v>
      </c>
      <c r="M92" t="str">
        <f ca="1">Quotes&amp;Format!N96&amp;UPPER(INDIRECT(M$1,TRUE))&amp;Quotes</f>
        <v>""</v>
      </c>
      <c r="N92" t="str">
        <f t="shared" ca="1" si="20"/>
        <v>","</v>
      </c>
      <c r="O92" t="s">
        <v>66</v>
      </c>
      <c r="P92" t="str">
        <f t="shared" ca="1" si="30"/>
        <v>""</v>
      </c>
      <c r="Q92" t="str">
        <f t="shared" ca="1" si="30"/>
        <v>""</v>
      </c>
      <c r="R92" t="str">
        <f t="shared" ca="1" si="30"/>
        <v>""</v>
      </c>
      <c r="S92" t="str">
        <f t="shared" ca="1" si="30"/>
        <v>""</v>
      </c>
      <c r="T92" t="s">
        <v>66</v>
      </c>
      <c r="U92" s="11" t="s">
        <v>50</v>
      </c>
      <c r="V92" s="7" t="s">
        <v>67</v>
      </c>
      <c r="W92" s="11" t="s">
        <v>50</v>
      </c>
      <c r="X92" t="str">
        <f t="shared" ca="1" si="21"/>
        <v>"P20"</v>
      </c>
      <c r="Y92" s="9">
        <f t="shared" ca="1" si="27"/>
        <v>0</v>
      </c>
      <c r="Z92" s="9">
        <f t="shared" ca="1" si="27"/>
        <v>0</v>
      </c>
      <c r="AA92" s="6" t="s">
        <v>45</v>
      </c>
      <c r="AB92" s="13" t="s">
        <v>50</v>
      </c>
      <c r="AC92" s="7" t="s">
        <v>68</v>
      </c>
      <c r="AD92" s="13" t="s">
        <v>50</v>
      </c>
      <c r="AE92" s="6">
        <f t="shared" ca="1" si="28"/>
        <v>0</v>
      </c>
      <c r="AF92" t="str">
        <f t="shared" ca="1" si="31"/>
        <v>"1"</v>
      </c>
      <c r="AG92" t="str">
        <f t="shared" ca="1" si="31"/>
        <v>"1001.X710.X"</v>
      </c>
      <c r="AH92" s="14">
        <f t="shared" ca="1" si="29"/>
        <v>42277</v>
      </c>
      <c r="AI92" s="6" t="s">
        <v>45</v>
      </c>
      <c r="AJ92" t="str">
        <f t="shared" ca="1" si="22"/>
        <v>""</v>
      </c>
      <c r="AK92" t="str">
        <f t="shared" ca="1" si="22"/>
        <v>""</v>
      </c>
      <c r="AL92" t="str">
        <f t="shared" ca="1" si="22"/>
        <v>"P20"</v>
      </c>
      <c r="AM92" t="s">
        <v>66</v>
      </c>
      <c r="AN92" t="s">
        <v>66</v>
      </c>
      <c r="AO92" s="7" t="s">
        <v>50</v>
      </c>
      <c r="AP92" s="12" t="s">
        <v>58</v>
      </c>
    </row>
    <row r="93" spans="1:42" x14ac:dyDescent="0.3">
      <c r="A93" s="7" t="s">
        <v>63</v>
      </c>
      <c r="B93" s="7" t="s">
        <v>64</v>
      </c>
      <c r="C93" s="7" t="s">
        <v>50</v>
      </c>
      <c r="D93" t="str">
        <f t="shared" ca="1" si="18"/>
        <v>""</v>
      </c>
      <c r="E93" s="14">
        <f t="shared" ca="1" si="23"/>
        <v>0</v>
      </c>
      <c r="F93" s="6">
        <f t="shared" ca="1" si="24"/>
        <v>0</v>
      </c>
      <c r="G93" t="s">
        <v>65</v>
      </c>
      <c r="H93" t="str">
        <f t="shared" ca="1" si="19"/>
        <v>""</v>
      </c>
      <c r="I93" s="9">
        <f t="shared" ca="1" si="25"/>
        <v>0</v>
      </c>
      <c r="J93" s="14">
        <f t="shared" ca="1" si="26"/>
        <v>0</v>
      </c>
      <c r="K93" s="14">
        <f t="shared" ca="1" si="26"/>
        <v>0</v>
      </c>
      <c r="L93" s="9">
        <v>0</v>
      </c>
      <c r="M93" t="str">
        <f ca="1">Quotes&amp;Format!N97&amp;UPPER(INDIRECT(M$1,TRUE))&amp;Quotes</f>
        <v>""</v>
      </c>
      <c r="N93" t="str">
        <f t="shared" ca="1" si="20"/>
        <v>","</v>
      </c>
      <c r="O93" t="s">
        <v>66</v>
      </c>
      <c r="P93" t="str">
        <f t="shared" ca="1" si="30"/>
        <v>""</v>
      </c>
      <c r="Q93" t="str">
        <f t="shared" ca="1" si="30"/>
        <v>""</v>
      </c>
      <c r="R93" t="str">
        <f t="shared" ca="1" si="30"/>
        <v>""</v>
      </c>
      <c r="S93" t="str">
        <f t="shared" ca="1" si="30"/>
        <v>""</v>
      </c>
      <c r="T93" t="s">
        <v>66</v>
      </c>
      <c r="U93" s="11" t="s">
        <v>50</v>
      </c>
      <c r="V93" s="7" t="s">
        <v>67</v>
      </c>
      <c r="W93" s="11" t="s">
        <v>50</v>
      </c>
      <c r="X93" t="str">
        <f t="shared" ca="1" si="21"/>
        <v>"P20"</v>
      </c>
      <c r="Y93" s="9">
        <f t="shared" ca="1" si="27"/>
        <v>0</v>
      </c>
      <c r="Z93" s="9">
        <f t="shared" ca="1" si="27"/>
        <v>0</v>
      </c>
      <c r="AA93" s="6" t="s">
        <v>45</v>
      </c>
      <c r="AB93" s="13" t="s">
        <v>50</v>
      </c>
      <c r="AC93" s="7" t="s">
        <v>68</v>
      </c>
      <c r="AD93" s="13" t="s">
        <v>50</v>
      </c>
      <c r="AE93" s="6">
        <f t="shared" ca="1" si="28"/>
        <v>0</v>
      </c>
      <c r="AF93" t="str">
        <f t="shared" ca="1" si="31"/>
        <v>"1"</v>
      </c>
      <c r="AG93" t="str">
        <f t="shared" ca="1" si="31"/>
        <v>"1001.X710.X"</v>
      </c>
      <c r="AH93" s="14">
        <f t="shared" ca="1" si="29"/>
        <v>42277</v>
      </c>
      <c r="AI93" s="6" t="s">
        <v>45</v>
      </c>
      <c r="AJ93" t="str">
        <f t="shared" ca="1" si="22"/>
        <v>""</v>
      </c>
      <c r="AK93" t="str">
        <f t="shared" ca="1" si="22"/>
        <v>""</v>
      </c>
      <c r="AL93" t="str">
        <f t="shared" ca="1" si="22"/>
        <v>"P20"</v>
      </c>
      <c r="AM93" t="s">
        <v>66</v>
      </c>
      <c r="AN93" t="s">
        <v>66</v>
      </c>
      <c r="AO93" s="7" t="s">
        <v>50</v>
      </c>
      <c r="AP93" s="12" t="s">
        <v>58</v>
      </c>
    </row>
    <row r="94" spans="1:42" x14ac:dyDescent="0.3">
      <c r="A94" s="7" t="s">
        <v>63</v>
      </c>
      <c r="B94" s="7" t="s">
        <v>64</v>
      </c>
      <c r="C94" s="7" t="s">
        <v>50</v>
      </c>
      <c r="D94" t="str">
        <f t="shared" ca="1" si="18"/>
        <v>""</v>
      </c>
      <c r="E94" s="14">
        <f t="shared" ca="1" si="23"/>
        <v>0</v>
      </c>
      <c r="F94" s="6">
        <f t="shared" ca="1" si="24"/>
        <v>0</v>
      </c>
      <c r="G94" t="s">
        <v>65</v>
      </c>
      <c r="H94" t="str">
        <f t="shared" ca="1" si="19"/>
        <v>""</v>
      </c>
      <c r="I94" s="9">
        <f t="shared" ca="1" si="25"/>
        <v>0</v>
      </c>
      <c r="J94" s="14">
        <f t="shared" ca="1" si="26"/>
        <v>0</v>
      </c>
      <c r="K94" s="14">
        <f t="shared" ca="1" si="26"/>
        <v>0</v>
      </c>
      <c r="L94" s="9">
        <v>0</v>
      </c>
      <c r="M94" t="str">
        <f ca="1">Quotes&amp;Format!N98&amp;UPPER(INDIRECT(M$1,TRUE))&amp;Quotes</f>
        <v>""</v>
      </c>
      <c r="N94" t="str">
        <f t="shared" ca="1" si="20"/>
        <v>","</v>
      </c>
      <c r="O94" t="s">
        <v>66</v>
      </c>
      <c r="P94" t="str">
        <f t="shared" ca="1" si="30"/>
        <v>""</v>
      </c>
      <c r="Q94" t="str">
        <f t="shared" ca="1" si="30"/>
        <v>""</v>
      </c>
      <c r="R94" t="str">
        <f t="shared" ca="1" si="30"/>
        <v>""</v>
      </c>
      <c r="S94" t="str">
        <f t="shared" ca="1" si="30"/>
        <v>""</v>
      </c>
      <c r="T94" t="s">
        <v>66</v>
      </c>
      <c r="U94" s="11" t="s">
        <v>50</v>
      </c>
      <c r="V94" s="7" t="s">
        <v>67</v>
      </c>
      <c r="W94" s="11" t="s">
        <v>50</v>
      </c>
      <c r="X94" t="str">
        <f t="shared" ca="1" si="21"/>
        <v>"P20"</v>
      </c>
      <c r="Y94" s="9">
        <f t="shared" ca="1" si="27"/>
        <v>0</v>
      </c>
      <c r="Z94" s="9">
        <f t="shared" ca="1" si="27"/>
        <v>0</v>
      </c>
      <c r="AA94" s="6" t="s">
        <v>45</v>
      </c>
      <c r="AB94" s="13" t="s">
        <v>50</v>
      </c>
      <c r="AC94" s="7" t="s">
        <v>68</v>
      </c>
      <c r="AD94" s="13" t="s">
        <v>50</v>
      </c>
      <c r="AE94" s="6">
        <f t="shared" ca="1" si="28"/>
        <v>0</v>
      </c>
      <c r="AF94" t="str">
        <f t="shared" ca="1" si="31"/>
        <v>"1"</v>
      </c>
      <c r="AG94" t="str">
        <f t="shared" ca="1" si="31"/>
        <v>"1001.X710.X"</v>
      </c>
      <c r="AH94" s="14">
        <f t="shared" ca="1" si="29"/>
        <v>42277</v>
      </c>
      <c r="AI94" s="6" t="s">
        <v>45</v>
      </c>
      <c r="AJ94" t="str">
        <f t="shared" ca="1" si="22"/>
        <v>""</v>
      </c>
      <c r="AK94" t="str">
        <f t="shared" ca="1" si="22"/>
        <v>""</v>
      </c>
      <c r="AL94" t="str">
        <f t="shared" ca="1" si="22"/>
        <v>"P20"</v>
      </c>
      <c r="AM94" t="s">
        <v>66</v>
      </c>
      <c r="AN94" t="s">
        <v>66</v>
      </c>
      <c r="AO94" s="7" t="s">
        <v>50</v>
      </c>
      <c r="AP94" s="12" t="s">
        <v>58</v>
      </c>
    </row>
    <row r="95" spans="1:42" x14ac:dyDescent="0.3">
      <c r="A95" s="7" t="s">
        <v>63</v>
      </c>
      <c r="B95" s="7" t="s">
        <v>64</v>
      </c>
      <c r="C95" s="7" t="s">
        <v>50</v>
      </c>
      <c r="D95" t="str">
        <f t="shared" ca="1" si="18"/>
        <v>""</v>
      </c>
      <c r="E95" s="14">
        <f t="shared" ca="1" si="23"/>
        <v>0</v>
      </c>
      <c r="F95" s="6">
        <f t="shared" ca="1" si="24"/>
        <v>0</v>
      </c>
      <c r="G95" t="s">
        <v>65</v>
      </c>
      <c r="H95" t="str">
        <f t="shared" ca="1" si="19"/>
        <v>""</v>
      </c>
      <c r="I95" s="9">
        <f t="shared" ca="1" si="25"/>
        <v>0</v>
      </c>
      <c r="J95" s="14">
        <f t="shared" ca="1" si="26"/>
        <v>0</v>
      </c>
      <c r="K95" s="14">
        <f t="shared" ca="1" si="26"/>
        <v>0</v>
      </c>
      <c r="L95" s="9">
        <v>0</v>
      </c>
      <c r="M95" t="str">
        <f ca="1">Quotes&amp;Format!N99&amp;UPPER(INDIRECT(M$1,TRUE))&amp;Quotes</f>
        <v>""</v>
      </c>
      <c r="N95" t="str">
        <f t="shared" ca="1" si="20"/>
        <v>","</v>
      </c>
      <c r="O95" t="s">
        <v>66</v>
      </c>
      <c r="P95" t="str">
        <f t="shared" ca="1" si="30"/>
        <v>""</v>
      </c>
      <c r="Q95" t="str">
        <f t="shared" ca="1" si="30"/>
        <v>""</v>
      </c>
      <c r="R95" t="str">
        <f t="shared" ca="1" si="30"/>
        <v>""</v>
      </c>
      <c r="S95" t="str">
        <f t="shared" ca="1" si="30"/>
        <v>""</v>
      </c>
      <c r="T95" t="s">
        <v>66</v>
      </c>
      <c r="U95" s="11" t="s">
        <v>50</v>
      </c>
      <c r="V95" s="7" t="s">
        <v>67</v>
      </c>
      <c r="W95" s="11" t="s">
        <v>50</v>
      </c>
      <c r="X95" t="str">
        <f t="shared" ca="1" si="21"/>
        <v>"P20"</v>
      </c>
      <c r="Y95" s="9">
        <f t="shared" ca="1" si="27"/>
        <v>0</v>
      </c>
      <c r="Z95" s="9">
        <f t="shared" ca="1" si="27"/>
        <v>0</v>
      </c>
      <c r="AA95" s="6" t="s">
        <v>45</v>
      </c>
      <c r="AB95" s="13" t="s">
        <v>50</v>
      </c>
      <c r="AC95" s="7" t="s">
        <v>68</v>
      </c>
      <c r="AD95" s="13" t="s">
        <v>50</v>
      </c>
      <c r="AE95" s="6">
        <f t="shared" ca="1" si="28"/>
        <v>0</v>
      </c>
      <c r="AF95" t="str">
        <f t="shared" ca="1" si="31"/>
        <v>"1"</v>
      </c>
      <c r="AG95" t="str">
        <f t="shared" ca="1" si="31"/>
        <v>"1001.X710.X"</v>
      </c>
      <c r="AH95" s="14">
        <f t="shared" ca="1" si="29"/>
        <v>42277</v>
      </c>
      <c r="AI95" s="6" t="s">
        <v>45</v>
      </c>
      <c r="AJ95" t="str">
        <f t="shared" ca="1" si="22"/>
        <v>""</v>
      </c>
      <c r="AK95" t="str">
        <f t="shared" ca="1" si="22"/>
        <v>""</v>
      </c>
      <c r="AL95" t="str">
        <f t="shared" ca="1" si="22"/>
        <v>"P20"</v>
      </c>
      <c r="AM95" t="s">
        <v>66</v>
      </c>
      <c r="AN95" t="s">
        <v>66</v>
      </c>
      <c r="AO95" s="7" t="s">
        <v>50</v>
      </c>
      <c r="AP95" s="12" t="s">
        <v>58</v>
      </c>
    </row>
    <row r="96" spans="1:42" x14ac:dyDescent="0.3">
      <c r="A96" s="7" t="s">
        <v>63</v>
      </c>
      <c r="B96" s="7" t="s">
        <v>64</v>
      </c>
      <c r="C96" s="7" t="s">
        <v>50</v>
      </c>
      <c r="D96" t="str">
        <f t="shared" ca="1" si="18"/>
        <v>""</v>
      </c>
      <c r="E96" s="14">
        <f t="shared" ca="1" si="23"/>
        <v>0</v>
      </c>
      <c r="F96" s="6">
        <f t="shared" ca="1" si="24"/>
        <v>0</v>
      </c>
      <c r="G96" t="s">
        <v>65</v>
      </c>
      <c r="H96" t="str">
        <f t="shared" ca="1" si="19"/>
        <v>""</v>
      </c>
      <c r="I96" s="9">
        <f t="shared" ca="1" si="25"/>
        <v>0</v>
      </c>
      <c r="J96" s="14">
        <f t="shared" ca="1" si="26"/>
        <v>0</v>
      </c>
      <c r="K96" s="14">
        <f t="shared" ca="1" si="26"/>
        <v>0</v>
      </c>
      <c r="L96" s="9">
        <v>0</v>
      </c>
      <c r="M96" t="str">
        <f ca="1">Quotes&amp;Format!N100&amp;UPPER(INDIRECT(M$1,TRUE))&amp;Quotes</f>
        <v>""</v>
      </c>
      <c r="N96" t="str">
        <f t="shared" ca="1" si="20"/>
        <v>","</v>
      </c>
      <c r="O96" t="s">
        <v>66</v>
      </c>
      <c r="P96" t="str">
        <f t="shared" ca="1" si="30"/>
        <v>""</v>
      </c>
      <c r="Q96" t="str">
        <f t="shared" ca="1" si="30"/>
        <v>""</v>
      </c>
      <c r="R96" t="str">
        <f t="shared" ca="1" si="30"/>
        <v>""</v>
      </c>
      <c r="S96" t="str">
        <f t="shared" ca="1" si="30"/>
        <v>""</v>
      </c>
      <c r="T96" t="s">
        <v>66</v>
      </c>
      <c r="U96" s="11" t="s">
        <v>50</v>
      </c>
      <c r="V96" s="7" t="s">
        <v>67</v>
      </c>
      <c r="W96" s="11" t="s">
        <v>50</v>
      </c>
      <c r="X96" t="str">
        <f t="shared" ca="1" si="21"/>
        <v>"P20"</v>
      </c>
      <c r="Y96" s="9">
        <f t="shared" ca="1" si="27"/>
        <v>0</v>
      </c>
      <c r="Z96" s="9">
        <f t="shared" ca="1" si="27"/>
        <v>0</v>
      </c>
      <c r="AA96" s="6" t="s">
        <v>45</v>
      </c>
      <c r="AB96" s="13" t="s">
        <v>50</v>
      </c>
      <c r="AC96" s="7" t="s">
        <v>68</v>
      </c>
      <c r="AD96" s="13" t="s">
        <v>50</v>
      </c>
      <c r="AE96" s="6">
        <f t="shared" ca="1" si="28"/>
        <v>0</v>
      </c>
      <c r="AF96" t="str">
        <f t="shared" ca="1" si="31"/>
        <v>"1"</v>
      </c>
      <c r="AG96" t="str">
        <f t="shared" ca="1" si="31"/>
        <v>"1001.X710.X"</v>
      </c>
      <c r="AH96" s="14">
        <f t="shared" ca="1" si="29"/>
        <v>42277</v>
      </c>
      <c r="AI96" s="6" t="s">
        <v>45</v>
      </c>
      <c r="AJ96" t="str">
        <f t="shared" ca="1" si="22"/>
        <v>""</v>
      </c>
      <c r="AK96" t="str">
        <f t="shared" ca="1" si="22"/>
        <v>""</v>
      </c>
      <c r="AL96" t="str">
        <f t="shared" ca="1" si="22"/>
        <v>"P20"</v>
      </c>
      <c r="AM96" t="s">
        <v>66</v>
      </c>
      <c r="AN96" t="s">
        <v>66</v>
      </c>
      <c r="AO96" s="7" t="s">
        <v>50</v>
      </c>
      <c r="AP96" s="12" t="s">
        <v>58</v>
      </c>
    </row>
    <row r="97" spans="1:42" x14ac:dyDescent="0.3">
      <c r="A97" s="7" t="s">
        <v>63</v>
      </c>
      <c r="B97" s="7" t="s">
        <v>64</v>
      </c>
      <c r="C97" s="7" t="s">
        <v>50</v>
      </c>
      <c r="D97" t="str">
        <f t="shared" ca="1" si="18"/>
        <v>""</v>
      </c>
      <c r="E97" s="14">
        <f t="shared" ca="1" si="23"/>
        <v>0</v>
      </c>
      <c r="F97" s="6">
        <f t="shared" ca="1" si="24"/>
        <v>0</v>
      </c>
      <c r="G97" t="s">
        <v>65</v>
      </c>
      <c r="H97" t="str">
        <f t="shared" ca="1" si="19"/>
        <v>""</v>
      </c>
      <c r="I97" s="9">
        <f t="shared" ca="1" si="25"/>
        <v>0</v>
      </c>
      <c r="J97" s="14">
        <f t="shared" ca="1" si="26"/>
        <v>0</v>
      </c>
      <c r="K97" s="14">
        <f t="shared" ca="1" si="26"/>
        <v>0</v>
      </c>
      <c r="L97" s="9">
        <v>0</v>
      </c>
      <c r="M97" t="str">
        <f ca="1">Quotes&amp;Format!N101&amp;UPPER(INDIRECT(M$1,TRUE))&amp;Quotes</f>
        <v>""</v>
      </c>
      <c r="N97" t="str">
        <f t="shared" ca="1" si="20"/>
        <v>","</v>
      </c>
      <c r="O97" t="s">
        <v>66</v>
      </c>
      <c r="P97" t="str">
        <f t="shared" ca="1" si="30"/>
        <v>""</v>
      </c>
      <c r="Q97" t="str">
        <f t="shared" ca="1" si="30"/>
        <v>""</v>
      </c>
      <c r="R97" t="str">
        <f t="shared" ca="1" si="30"/>
        <v>""</v>
      </c>
      <c r="S97" t="str">
        <f t="shared" ca="1" si="30"/>
        <v>""</v>
      </c>
      <c r="T97" t="s">
        <v>66</v>
      </c>
      <c r="U97" s="11" t="s">
        <v>50</v>
      </c>
      <c r="V97" s="7" t="s">
        <v>67</v>
      </c>
      <c r="W97" s="11" t="s">
        <v>50</v>
      </c>
      <c r="X97" t="str">
        <f t="shared" ca="1" si="21"/>
        <v>"P20"</v>
      </c>
      <c r="Y97" s="9">
        <f t="shared" ca="1" si="27"/>
        <v>0</v>
      </c>
      <c r="Z97" s="9">
        <f t="shared" ca="1" si="27"/>
        <v>0</v>
      </c>
      <c r="AA97" s="6" t="s">
        <v>45</v>
      </c>
      <c r="AB97" s="13" t="s">
        <v>50</v>
      </c>
      <c r="AC97" s="7" t="s">
        <v>68</v>
      </c>
      <c r="AD97" s="13" t="s">
        <v>50</v>
      </c>
      <c r="AE97" s="6">
        <f t="shared" ca="1" si="28"/>
        <v>0</v>
      </c>
      <c r="AF97" t="str">
        <f t="shared" ca="1" si="31"/>
        <v>"1"</v>
      </c>
      <c r="AG97" t="str">
        <f t="shared" ca="1" si="31"/>
        <v>"1001.X710.X"</v>
      </c>
      <c r="AH97" s="14">
        <f t="shared" ca="1" si="29"/>
        <v>42277</v>
      </c>
      <c r="AI97" s="6" t="s">
        <v>45</v>
      </c>
      <c r="AJ97" t="str">
        <f t="shared" ca="1" si="22"/>
        <v>""</v>
      </c>
      <c r="AK97" t="str">
        <f t="shared" ca="1" si="22"/>
        <v>""</v>
      </c>
      <c r="AL97" t="str">
        <f t="shared" ca="1" si="22"/>
        <v>"P20"</v>
      </c>
      <c r="AM97" t="s">
        <v>66</v>
      </c>
      <c r="AN97" t="s">
        <v>66</v>
      </c>
      <c r="AO97" s="7" t="s">
        <v>50</v>
      </c>
      <c r="AP97" s="12" t="s">
        <v>58</v>
      </c>
    </row>
    <row r="98" spans="1:42" x14ac:dyDescent="0.3">
      <c r="A98" s="7" t="s">
        <v>63</v>
      </c>
      <c r="B98" s="7" t="s">
        <v>64</v>
      </c>
      <c r="C98" s="7" t="s">
        <v>50</v>
      </c>
      <c r="D98" t="str">
        <f t="shared" ca="1" si="18"/>
        <v>""</v>
      </c>
      <c r="E98" s="14">
        <f t="shared" ca="1" si="23"/>
        <v>0</v>
      </c>
      <c r="F98" s="6">
        <f t="shared" ca="1" si="24"/>
        <v>0</v>
      </c>
      <c r="G98" t="s">
        <v>65</v>
      </c>
      <c r="H98" t="str">
        <f t="shared" ca="1" si="19"/>
        <v>""</v>
      </c>
      <c r="I98" s="9">
        <f t="shared" ca="1" si="25"/>
        <v>0</v>
      </c>
      <c r="J98" s="14">
        <f t="shared" ca="1" si="26"/>
        <v>0</v>
      </c>
      <c r="K98" s="14">
        <f t="shared" ca="1" si="26"/>
        <v>0</v>
      </c>
      <c r="L98" s="9">
        <v>0</v>
      </c>
      <c r="M98" t="str">
        <f ca="1">Quotes&amp;Format!N102&amp;UPPER(INDIRECT(M$1,TRUE))&amp;Quotes</f>
        <v>""</v>
      </c>
      <c r="N98" t="str">
        <f t="shared" ca="1" si="20"/>
        <v>","</v>
      </c>
      <c r="O98" t="s">
        <v>66</v>
      </c>
      <c r="P98" t="str">
        <f t="shared" ca="1" si="30"/>
        <v>""</v>
      </c>
      <c r="Q98" t="str">
        <f t="shared" ca="1" si="30"/>
        <v>""</v>
      </c>
      <c r="R98" t="str">
        <f t="shared" ca="1" si="30"/>
        <v>""</v>
      </c>
      <c r="S98" t="str">
        <f t="shared" ca="1" si="30"/>
        <v>""</v>
      </c>
      <c r="T98" t="s">
        <v>66</v>
      </c>
      <c r="U98" s="11" t="s">
        <v>50</v>
      </c>
      <c r="V98" s="7" t="s">
        <v>67</v>
      </c>
      <c r="W98" s="11" t="s">
        <v>50</v>
      </c>
      <c r="X98" t="str">
        <f t="shared" ca="1" si="21"/>
        <v>"P20"</v>
      </c>
      <c r="Y98" s="9">
        <f t="shared" ca="1" si="27"/>
        <v>0</v>
      </c>
      <c r="Z98" s="9">
        <f t="shared" ca="1" si="27"/>
        <v>0</v>
      </c>
      <c r="AA98" s="6" t="s">
        <v>45</v>
      </c>
      <c r="AB98" s="13" t="s">
        <v>50</v>
      </c>
      <c r="AC98" s="7" t="s">
        <v>68</v>
      </c>
      <c r="AD98" s="13" t="s">
        <v>50</v>
      </c>
      <c r="AE98" s="6">
        <f t="shared" ca="1" si="28"/>
        <v>0</v>
      </c>
      <c r="AF98" t="str">
        <f t="shared" ca="1" si="31"/>
        <v>"1"</v>
      </c>
      <c r="AG98" t="str">
        <f t="shared" ca="1" si="31"/>
        <v>"1001.X710.X"</v>
      </c>
      <c r="AH98" s="14">
        <f t="shared" ca="1" si="29"/>
        <v>42277</v>
      </c>
      <c r="AI98" s="6" t="s">
        <v>45</v>
      </c>
      <c r="AJ98" t="str">
        <f t="shared" ca="1" si="22"/>
        <v>""</v>
      </c>
      <c r="AK98" t="str">
        <f t="shared" ca="1" si="22"/>
        <v>""</v>
      </c>
      <c r="AL98" t="str">
        <f t="shared" ca="1" si="22"/>
        <v>"P20"</v>
      </c>
      <c r="AM98" t="s">
        <v>66</v>
      </c>
      <c r="AN98" t="s">
        <v>66</v>
      </c>
      <c r="AO98" s="7" t="s">
        <v>50</v>
      </c>
      <c r="AP98" s="12" t="s">
        <v>58</v>
      </c>
    </row>
    <row r="99" spans="1:42" x14ac:dyDescent="0.3">
      <c r="A99" s="7" t="s">
        <v>63</v>
      </c>
      <c r="B99" s="7" t="s">
        <v>64</v>
      </c>
      <c r="C99" s="7" t="s">
        <v>50</v>
      </c>
      <c r="D99" t="str">
        <f t="shared" ca="1" si="18"/>
        <v>""</v>
      </c>
      <c r="E99" s="14">
        <f t="shared" ca="1" si="23"/>
        <v>0</v>
      </c>
      <c r="F99" s="6">
        <f t="shared" ca="1" si="24"/>
        <v>0</v>
      </c>
      <c r="G99" t="s">
        <v>65</v>
      </c>
      <c r="H99" t="str">
        <f t="shared" ca="1" si="19"/>
        <v>""</v>
      </c>
      <c r="I99" s="9">
        <f t="shared" ca="1" si="25"/>
        <v>0</v>
      </c>
      <c r="J99" s="14">
        <f t="shared" ca="1" si="26"/>
        <v>0</v>
      </c>
      <c r="K99" s="14">
        <f t="shared" ca="1" si="26"/>
        <v>0</v>
      </c>
      <c r="L99" s="9">
        <v>0</v>
      </c>
      <c r="M99" t="str">
        <f ca="1">Quotes&amp;Format!N103&amp;UPPER(INDIRECT(M$1,TRUE))&amp;Quotes</f>
        <v>""</v>
      </c>
      <c r="N99" t="str">
        <f t="shared" ca="1" si="20"/>
        <v>","</v>
      </c>
      <c r="O99" t="s">
        <v>66</v>
      </c>
      <c r="P99" t="str">
        <f t="shared" ca="1" si="30"/>
        <v>""</v>
      </c>
      <c r="Q99" t="str">
        <f t="shared" ca="1" si="30"/>
        <v>""</v>
      </c>
      <c r="R99" t="str">
        <f t="shared" ca="1" si="30"/>
        <v>""</v>
      </c>
      <c r="S99" t="str">
        <f t="shared" ca="1" si="30"/>
        <v>""</v>
      </c>
      <c r="T99" t="s">
        <v>66</v>
      </c>
      <c r="U99" s="11" t="s">
        <v>50</v>
      </c>
      <c r="V99" s="7" t="s">
        <v>67</v>
      </c>
      <c r="W99" s="11" t="s">
        <v>50</v>
      </c>
      <c r="X99" t="str">
        <f t="shared" ca="1" si="21"/>
        <v>"P20"</v>
      </c>
      <c r="Y99" s="9">
        <f t="shared" ca="1" si="27"/>
        <v>0</v>
      </c>
      <c r="Z99" s="9">
        <f t="shared" ca="1" si="27"/>
        <v>0</v>
      </c>
      <c r="AA99" s="6" t="s">
        <v>45</v>
      </c>
      <c r="AB99" s="13" t="s">
        <v>50</v>
      </c>
      <c r="AC99" s="7" t="s">
        <v>68</v>
      </c>
      <c r="AD99" s="13" t="s">
        <v>50</v>
      </c>
      <c r="AE99" s="6">
        <f t="shared" ca="1" si="28"/>
        <v>0</v>
      </c>
      <c r="AF99" t="str">
        <f t="shared" ca="1" si="31"/>
        <v>"1"</v>
      </c>
      <c r="AG99" t="str">
        <f t="shared" ca="1" si="31"/>
        <v>"1001.X710.X"</v>
      </c>
      <c r="AH99" s="14">
        <f t="shared" ca="1" si="29"/>
        <v>42277</v>
      </c>
      <c r="AI99" s="6" t="s">
        <v>45</v>
      </c>
      <c r="AJ99" t="str">
        <f t="shared" ca="1" si="22"/>
        <v>""</v>
      </c>
      <c r="AK99" t="str">
        <f t="shared" ca="1" si="22"/>
        <v>""</v>
      </c>
      <c r="AL99" t="str">
        <f t="shared" ca="1" si="22"/>
        <v>"P20"</v>
      </c>
      <c r="AM99" t="s">
        <v>66</v>
      </c>
      <c r="AN99" t="s">
        <v>66</v>
      </c>
      <c r="AO99" s="7" t="s">
        <v>50</v>
      </c>
      <c r="AP99" s="12" t="s">
        <v>58</v>
      </c>
    </row>
    <row r="100" spans="1:42" x14ac:dyDescent="0.3">
      <c r="A100" s="7" t="s">
        <v>63</v>
      </c>
      <c r="B100" s="7" t="s">
        <v>64</v>
      </c>
      <c r="C100" s="7" t="s">
        <v>50</v>
      </c>
      <c r="D100" t="str">
        <f t="shared" ca="1" si="18"/>
        <v>""</v>
      </c>
      <c r="E100" s="14">
        <f t="shared" ca="1" si="23"/>
        <v>0</v>
      </c>
      <c r="F100" s="6">
        <f t="shared" ca="1" si="24"/>
        <v>0</v>
      </c>
      <c r="G100" t="s">
        <v>65</v>
      </c>
      <c r="H100" t="str">
        <f t="shared" ca="1" si="19"/>
        <v>""</v>
      </c>
      <c r="I100" s="9">
        <f t="shared" ca="1" si="25"/>
        <v>0</v>
      </c>
      <c r="J100" s="14">
        <f t="shared" ca="1" si="26"/>
        <v>0</v>
      </c>
      <c r="K100" s="14">
        <f t="shared" ca="1" si="26"/>
        <v>0</v>
      </c>
      <c r="L100" s="9">
        <v>0</v>
      </c>
      <c r="M100" t="str">
        <f ca="1">Quotes&amp;Format!N104&amp;UPPER(INDIRECT(M$1,TRUE))&amp;Quotes</f>
        <v>""</v>
      </c>
      <c r="N100" t="str">
        <f t="shared" ca="1" si="20"/>
        <v>","</v>
      </c>
      <c r="O100" t="s">
        <v>66</v>
      </c>
      <c r="P100" t="str">
        <f t="shared" ca="1" si="30"/>
        <v>""</v>
      </c>
      <c r="Q100" t="str">
        <f t="shared" ca="1" si="30"/>
        <v>""</v>
      </c>
      <c r="R100" t="str">
        <f t="shared" ca="1" si="30"/>
        <v>""</v>
      </c>
      <c r="S100" t="str">
        <f t="shared" ca="1" si="30"/>
        <v>""</v>
      </c>
      <c r="T100" t="s">
        <v>66</v>
      </c>
      <c r="U100" s="11" t="s">
        <v>50</v>
      </c>
      <c r="V100" s="7" t="s">
        <v>67</v>
      </c>
      <c r="W100" s="11" t="s">
        <v>50</v>
      </c>
      <c r="X100" t="str">
        <f t="shared" ca="1" si="21"/>
        <v>"P20"</v>
      </c>
      <c r="Y100" s="9">
        <f t="shared" ca="1" si="27"/>
        <v>0</v>
      </c>
      <c r="Z100" s="9">
        <f t="shared" ca="1" si="27"/>
        <v>0</v>
      </c>
      <c r="AA100" s="6" t="s">
        <v>45</v>
      </c>
      <c r="AB100" s="13" t="s">
        <v>50</v>
      </c>
      <c r="AC100" s="7" t="s">
        <v>68</v>
      </c>
      <c r="AD100" s="13" t="s">
        <v>50</v>
      </c>
      <c r="AE100" s="6">
        <f t="shared" ca="1" si="28"/>
        <v>0</v>
      </c>
      <c r="AF100" t="str">
        <f t="shared" ca="1" si="31"/>
        <v>"1"</v>
      </c>
      <c r="AG100" t="str">
        <f t="shared" ca="1" si="31"/>
        <v>"1001.X710.X"</v>
      </c>
      <c r="AH100" s="14">
        <f t="shared" ca="1" si="29"/>
        <v>42277</v>
      </c>
      <c r="AI100" s="6" t="s">
        <v>45</v>
      </c>
      <c r="AJ100" t="str">
        <f t="shared" ca="1" si="22"/>
        <v>""</v>
      </c>
      <c r="AK100" t="str">
        <f t="shared" ca="1" si="22"/>
        <v>""</v>
      </c>
      <c r="AL100" t="str">
        <f t="shared" ca="1" si="22"/>
        <v>"P20"</v>
      </c>
      <c r="AM100" t="s">
        <v>66</v>
      </c>
      <c r="AN100" t="s">
        <v>66</v>
      </c>
      <c r="AO100" s="7" t="s">
        <v>50</v>
      </c>
      <c r="AP100" s="12" t="s">
        <v>58</v>
      </c>
    </row>
    <row r="101" spans="1:42" x14ac:dyDescent="0.3">
      <c r="A101" s="7" t="s">
        <v>63</v>
      </c>
      <c r="B101" s="7" t="s">
        <v>64</v>
      </c>
      <c r="C101" s="7" t="s">
        <v>50</v>
      </c>
      <c r="D101" t="str">
        <f t="shared" ca="1" si="18"/>
        <v>""</v>
      </c>
      <c r="E101" s="14">
        <f t="shared" ca="1" si="23"/>
        <v>0</v>
      </c>
      <c r="F101" s="6">
        <f t="shared" ca="1" si="24"/>
        <v>0</v>
      </c>
      <c r="G101" t="s">
        <v>65</v>
      </c>
      <c r="H101" t="str">
        <f t="shared" ca="1" si="19"/>
        <v>""</v>
      </c>
      <c r="I101" s="9">
        <f t="shared" ca="1" si="25"/>
        <v>0</v>
      </c>
      <c r="J101" s="14">
        <f t="shared" ca="1" si="26"/>
        <v>0</v>
      </c>
      <c r="K101" s="14">
        <f t="shared" ca="1" si="26"/>
        <v>0</v>
      </c>
      <c r="L101" s="9">
        <v>0</v>
      </c>
      <c r="M101" t="str">
        <f ca="1">Quotes&amp;Format!N105&amp;UPPER(INDIRECT(M$1,TRUE))&amp;Quotes</f>
        <v>""</v>
      </c>
      <c r="N101" t="str">
        <f t="shared" ca="1" si="20"/>
        <v>","</v>
      </c>
      <c r="O101" t="s">
        <v>66</v>
      </c>
      <c r="P101" t="str">
        <f t="shared" ca="1" si="30"/>
        <v>""</v>
      </c>
      <c r="Q101" t="str">
        <f t="shared" ca="1" si="30"/>
        <v>""</v>
      </c>
      <c r="R101" t="str">
        <f t="shared" ca="1" si="30"/>
        <v>""</v>
      </c>
      <c r="S101" t="str">
        <f t="shared" ca="1" si="30"/>
        <v>""</v>
      </c>
      <c r="T101" t="s">
        <v>66</v>
      </c>
      <c r="U101" s="11" t="s">
        <v>50</v>
      </c>
      <c r="V101" s="7" t="s">
        <v>67</v>
      </c>
      <c r="W101" s="11" t="s">
        <v>50</v>
      </c>
      <c r="X101" t="str">
        <f t="shared" ca="1" si="21"/>
        <v>"P20"</v>
      </c>
      <c r="Y101" s="9">
        <f t="shared" ca="1" si="27"/>
        <v>0</v>
      </c>
      <c r="Z101" s="9">
        <f t="shared" ca="1" si="27"/>
        <v>0</v>
      </c>
      <c r="AA101" s="6" t="s">
        <v>45</v>
      </c>
      <c r="AB101" s="13" t="s">
        <v>50</v>
      </c>
      <c r="AC101" s="7" t="s">
        <v>68</v>
      </c>
      <c r="AD101" s="13" t="s">
        <v>50</v>
      </c>
      <c r="AE101" s="6">
        <f t="shared" ca="1" si="28"/>
        <v>0</v>
      </c>
      <c r="AF101" t="str">
        <f t="shared" ca="1" si="31"/>
        <v>"1"</v>
      </c>
      <c r="AG101" t="str">
        <f t="shared" ca="1" si="31"/>
        <v>"1001.X710.X"</v>
      </c>
      <c r="AH101" s="14">
        <f t="shared" ca="1" si="29"/>
        <v>42277</v>
      </c>
      <c r="AI101" s="6" t="s">
        <v>45</v>
      </c>
      <c r="AJ101" t="str">
        <f t="shared" ca="1" si="22"/>
        <v>""</v>
      </c>
      <c r="AK101" t="str">
        <f t="shared" ca="1" si="22"/>
        <v>""</v>
      </c>
      <c r="AL101" t="str">
        <f t="shared" ca="1" si="22"/>
        <v>"P20"</v>
      </c>
      <c r="AM101" t="s">
        <v>66</v>
      </c>
      <c r="AN101" t="s">
        <v>66</v>
      </c>
      <c r="AO101" s="7" t="s">
        <v>50</v>
      </c>
      <c r="AP101" s="12" t="s">
        <v>58</v>
      </c>
    </row>
    <row r="102" spans="1:42" x14ac:dyDescent="0.3">
      <c r="A102" s="7" t="s">
        <v>63</v>
      </c>
      <c r="B102" s="7" t="s">
        <v>64</v>
      </c>
      <c r="C102" s="7" t="s">
        <v>50</v>
      </c>
      <c r="D102" t="str">
        <f t="shared" ca="1" si="18"/>
        <v>""</v>
      </c>
      <c r="E102" s="14">
        <f t="shared" ca="1" si="23"/>
        <v>0</v>
      </c>
      <c r="F102" s="6">
        <f t="shared" ca="1" si="24"/>
        <v>0</v>
      </c>
      <c r="G102" t="s">
        <v>65</v>
      </c>
      <c r="H102" t="str">
        <f t="shared" ca="1" si="19"/>
        <v>""</v>
      </c>
      <c r="I102" s="9">
        <f t="shared" ca="1" si="25"/>
        <v>0</v>
      </c>
      <c r="J102" s="14">
        <f t="shared" ca="1" si="26"/>
        <v>0</v>
      </c>
      <c r="K102" s="14">
        <f t="shared" ca="1" si="26"/>
        <v>0</v>
      </c>
      <c r="L102" s="9">
        <v>0</v>
      </c>
      <c r="M102" t="str">
        <f ca="1">Quotes&amp;Format!N106&amp;UPPER(INDIRECT(M$1,TRUE))&amp;Quotes</f>
        <v>""</v>
      </c>
      <c r="N102" t="str">
        <f t="shared" ca="1" si="20"/>
        <v>","</v>
      </c>
      <c r="O102" t="s">
        <v>66</v>
      </c>
      <c r="P102" t="str">
        <f t="shared" ca="1" si="30"/>
        <v>""</v>
      </c>
      <c r="Q102" t="str">
        <f t="shared" ca="1" si="30"/>
        <v>""</v>
      </c>
      <c r="R102" t="str">
        <f t="shared" ca="1" si="30"/>
        <v>""</v>
      </c>
      <c r="S102" t="str">
        <f t="shared" ca="1" si="30"/>
        <v>""</v>
      </c>
      <c r="T102" t="s">
        <v>66</v>
      </c>
      <c r="U102" s="11" t="s">
        <v>50</v>
      </c>
      <c r="V102" s="7" t="s">
        <v>67</v>
      </c>
      <c r="W102" s="11" t="s">
        <v>50</v>
      </c>
      <c r="X102" t="str">
        <f t="shared" ca="1" si="21"/>
        <v>"P20"</v>
      </c>
      <c r="Y102" s="9">
        <f t="shared" ca="1" si="27"/>
        <v>0</v>
      </c>
      <c r="Z102" s="9">
        <f t="shared" ca="1" si="27"/>
        <v>0</v>
      </c>
      <c r="AA102" s="6" t="s">
        <v>45</v>
      </c>
      <c r="AB102" s="13" t="s">
        <v>50</v>
      </c>
      <c r="AC102" s="7" t="s">
        <v>68</v>
      </c>
      <c r="AD102" s="13" t="s">
        <v>50</v>
      </c>
      <c r="AE102" s="6">
        <f t="shared" ca="1" si="28"/>
        <v>0</v>
      </c>
      <c r="AF102" t="str">
        <f t="shared" ca="1" si="31"/>
        <v>"1"</v>
      </c>
      <c r="AG102" t="str">
        <f t="shared" ca="1" si="31"/>
        <v>"1001.X710.X"</v>
      </c>
      <c r="AH102" s="14">
        <f t="shared" ca="1" si="29"/>
        <v>42277</v>
      </c>
      <c r="AI102" s="6" t="s">
        <v>45</v>
      </c>
      <c r="AJ102" t="str">
        <f t="shared" ca="1" si="22"/>
        <v>""</v>
      </c>
      <c r="AK102" t="str">
        <f t="shared" ca="1" si="22"/>
        <v>""</v>
      </c>
      <c r="AL102" t="str">
        <f t="shared" ca="1" si="22"/>
        <v>"P20"</v>
      </c>
      <c r="AM102" t="s">
        <v>66</v>
      </c>
      <c r="AN102" t="s">
        <v>66</v>
      </c>
      <c r="AO102" s="7" t="s">
        <v>50</v>
      </c>
      <c r="AP102" s="12" t="s">
        <v>58</v>
      </c>
    </row>
    <row r="103" spans="1:42" x14ac:dyDescent="0.3">
      <c r="A103" s="7" t="s">
        <v>63</v>
      </c>
      <c r="B103" s="7" t="s">
        <v>64</v>
      </c>
      <c r="C103" s="7" t="s">
        <v>50</v>
      </c>
      <c r="D103" t="str">
        <f t="shared" ca="1" si="18"/>
        <v>""</v>
      </c>
      <c r="E103" s="14">
        <f t="shared" ca="1" si="23"/>
        <v>0</v>
      </c>
      <c r="F103" s="6">
        <f t="shared" ca="1" si="24"/>
        <v>0</v>
      </c>
      <c r="G103" t="s">
        <v>65</v>
      </c>
      <c r="H103" t="str">
        <f t="shared" ca="1" si="19"/>
        <v>""</v>
      </c>
      <c r="I103" s="9">
        <f t="shared" ca="1" si="25"/>
        <v>0</v>
      </c>
      <c r="J103" s="14">
        <f t="shared" ca="1" si="26"/>
        <v>0</v>
      </c>
      <c r="K103" s="14">
        <f t="shared" ca="1" si="26"/>
        <v>0</v>
      </c>
      <c r="L103" s="9">
        <v>0</v>
      </c>
      <c r="M103" t="str">
        <f ca="1">Quotes&amp;Format!N107&amp;UPPER(INDIRECT(M$1,TRUE))&amp;Quotes</f>
        <v>""</v>
      </c>
      <c r="N103" t="str">
        <f t="shared" ca="1" si="20"/>
        <v>","</v>
      </c>
      <c r="O103" t="s">
        <v>66</v>
      </c>
      <c r="P103" t="str">
        <f t="shared" ca="1" si="30"/>
        <v>""</v>
      </c>
      <c r="Q103" t="str">
        <f t="shared" ca="1" si="30"/>
        <v>""</v>
      </c>
      <c r="R103" t="str">
        <f t="shared" ca="1" si="30"/>
        <v>""</v>
      </c>
      <c r="S103" t="str">
        <f t="shared" ca="1" si="30"/>
        <v>""</v>
      </c>
      <c r="T103" t="s">
        <v>66</v>
      </c>
      <c r="U103" s="11" t="s">
        <v>50</v>
      </c>
      <c r="V103" s="7" t="s">
        <v>67</v>
      </c>
      <c r="W103" s="11" t="s">
        <v>50</v>
      </c>
      <c r="X103" t="str">
        <f t="shared" ca="1" si="21"/>
        <v>"P20"</v>
      </c>
      <c r="Y103" s="9">
        <f t="shared" ca="1" si="27"/>
        <v>0</v>
      </c>
      <c r="Z103" s="9">
        <f t="shared" ca="1" si="27"/>
        <v>0</v>
      </c>
      <c r="AA103" s="6" t="s">
        <v>45</v>
      </c>
      <c r="AB103" s="13" t="s">
        <v>50</v>
      </c>
      <c r="AC103" s="7" t="s">
        <v>68</v>
      </c>
      <c r="AD103" s="13" t="s">
        <v>50</v>
      </c>
      <c r="AE103" s="6">
        <f t="shared" ca="1" si="28"/>
        <v>0</v>
      </c>
      <c r="AF103" t="str">
        <f t="shared" ca="1" si="31"/>
        <v>"1"</v>
      </c>
      <c r="AG103" t="str">
        <f t="shared" ca="1" si="31"/>
        <v>"1001.X710.X"</v>
      </c>
      <c r="AH103" s="14">
        <f t="shared" ca="1" si="29"/>
        <v>42277</v>
      </c>
      <c r="AI103" s="6" t="s">
        <v>45</v>
      </c>
      <c r="AJ103" t="str">
        <f t="shared" ca="1" si="22"/>
        <v>""</v>
      </c>
      <c r="AK103" t="str">
        <f t="shared" ca="1" si="22"/>
        <v>""</v>
      </c>
      <c r="AL103" t="str">
        <f t="shared" ca="1" si="22"/>
        <v>"P20"</v>
      </c>
      <c r="AM103" t="s">
        <v>66</v>
      </c>
      <c r="AN103" t="s">
        <v>66</v>
      </c>
      <c r="AO103" s="7" t="s">
        <v>50</v>
      </c>
      <c r="AP103" s="12" t="s">
        <v>58</v>
      </c>
    </row>
    <row r="104" spans="1:42" x14ac:dyDescent="0.3">
      <c r="A104" s="7" t="s">
        <v>63</v>
      </c>
      <c r="B104" s="7" t="s">
        <v>64</v>
      </c>
      <c r="C104" s="7" t="s">
        <v>50</v>
      </c>
      <c r="D104" t="str">
        <f t="shared" ca="1" si="18"/>
        <v>""</v>
      </c>
      <c r="E104" s="14">
        <f t="shared" ca="1" si="23"/>
        <v>0</v>
      </c>
      <c r="F104" s="6">
        <f t="shared" ca="1" si="24"/>
        <v>0</v>
      </c>
      <c r="G104" t="s">
        <v>65</v>
      </c>
      <c r="H104" t="str">
        <f t="shared" ca="1" si="19"/>
        <v>""</v>
      </c>
      <c r="I104" s="9">
        <f t="shared" ca="1" si="25"/>
        <v>0</v>
      </c>
      <c r="J104" s="14">
        <f t="shared" ca="1" si="26"/>
        <v>0</v>
      </c>
      <c r="K104" s="14">
        <f t="shared" ca="1" si="26"/>
        <v>0</v>
      </c>
      <c r="L104" s="9">
        <v>0</v>
      </c>
      <c r="M104" t="str">
        <f ca="1">Quotes&amp;Format!N108&amp;UPPER(INDIRECT(M$1,TRUE))&amp;Quotes</f>
        <v>""</v>
      </c>
      <c r="N104" t="str">
        <f t="shared" ca="1" si="20"/>
        <v>","</v>
      </c>
      <c r="O104" t="s">
        <v>66</v>
      </c>
      <c r="P104" t="str">
        <f t="shared" ca="1" si="30"/>
        <v>""</v>
      </c>
      <c r="Q104" t="str">
        <f t="shared" ca="1" si="30"/>
        <v>""</v>
      </c>
      <c r="R104" t="str">
        <f t="shared" ca="1" si="30"/>
        <v>""</v>
      </c>
      <c r="S104" t="str">
        <f t="shared" ca="1" si="30"/>
        <v>""</v>
      </c>
      <c r="T104" t="s">
        <v>66</v>
      </c>
      <c r="U104" s="11" t="s">
        <v>50</v>
      </c>
      <c r="V104" s="7" t="s">
        <v>67</v>
      </c>
      <c r="W104" s="11" t="s">
        <v>50</v>
      </c>
      <c r="X104" t="str">
        <f t="shared" ca="1" si="21"/>
        <v>"P20"</v>
      </c>
      <c r="Y104" s="9">
        <f t="shared" ca="1" si="27"/>
        <v>0</v>
      </c>
      <c r="Z104" s="9">
        <f t="shared" ca="1" si="27"/>
        <v>0</v>
      </c>
      <c r="AA104" s="6" t="s">
        <v>45</v>
      </c>
      <c r="AB104" s="13" t="s">
        <v>50</v>
      </c>
      <c r="AC104" s="7" t="s">
        <v>68</v>
      </c>
      <c r="AD104" s="13" t="s">
        <v>50</v>
      </c>
      <c r="AE104" s="6">
        <f t="shared" ca="1" si="28"/>
        <v>0</v>
      </c>
      <c r="AF104" t="str">
        <f t="shared" ref="AF104:AG123" ca="1" si="32">Quotes&amp;IF(INDIRECT(AF$1,TRUE)="","""",UPPER(INDIRECT(AF$1,TRUE))&amp;Quotes)</f>
        <v>"1"</v>
      </c>
      <c r="AG104" t="str">
        <f t="shared" ca="1" si="32"/>
        <v>"1001.X710.X"</v>
      </c>
      <c r="AH104" s="14">
        <f t="shared" ca="1" si="29"/>
        <v>42277</v>
      </c>
      <c r="AI104" s="6" t="s">
        <v>45</v>
      </c>
      <c r="AJ104" t="str">
        <f t="shared" ca="1" si="22"/>
        <v>""</v>
      </c>
      <c r="AK104" t="str">
        <f t="shared" ca="1" si="22"/>
        <v>""</v>
      </c>
      <c r="AL104" t="str">
        <f t="shared" ca="1" si="22"/>
        <v>"P20"</v>
      </c>
      <c r="AM104" t="s">
        <v>66</v>
      </c>
      <c r="AN104" t="s">
        <v>66</v>
      </c>
      <c r="AO104" s="7" t="s">
        <v>50</v>
      </c>
      <c r="AP104" s="12" t="s">
        <v>58</v>
      </c>
    </row>
    <row r="105" spans="1:42" x14ac:dyDescent="0.3">
      <c r="A105" s="7" t="s">
        <v>63</v>
      </c>
      <c r="B105" s="7" t="s">
        <v>64</v>
      </c>
      <c r="C105" s="7" t="s">
        <v>50</v>
      </c>
      <c r="D105" t="str">
        <f t="shared" ca="1" si="18"/>
        <v>""</v>
      </c>
      <c r="E105" s="14">
        <f t="shared" ca="1" si="23"/>
        <v>0</v>
      </c>
      <c r="F105" s="6">
        <f t="shared" ca="1" si="24"/>
        <v>0</v>
      </c>
      <c r="G105" t="s">
        <v>65</v>
      </c>
      <c r="H105" t="str">
        <f t="shared" ca="1" si="19"/>
        <v>""</v>
      </c>
      <c r="I105" s="9">
        <f t="shared" ca="1" si="25"/>
        <v>0</v>
      </c>
      <c r="J105" s="14">
        <f t="shared" ca="1" si="26"/>
        <v>0</v>
      </c>
      <c r="K105" s="14">
        <f t="shared" ca="1" si="26"/>
        <v>0</v>
      </c>
      <c r="L105" s="9">
        <v>0</v>
      </c>
      <c r="M105" t="str">
        <f ca="1">Quotes&amp;Format!N109&amp;UPPER(INDIRECT(M$1,TRUE))&amp;Quotes</f>
        <v>""</v>
      </c>
      <c r="N105" t="str">
        <f t="shared" ca="1" si="20"/>
        <v>","</v>
      </c>
      <c r="O105" t="s">
        <v>66</v>
      </c>
      <c r="P105" t="str">
        <f t="shared" ca="1" si="30"/>
        <v>""</v>
      </c>
      <c r="Q105" t="str">
        <f t="shared" ca="1" si="30"/>
        <v>""</v>
      </c>
      <c r="R105" t="str">
        <f t="shared" ca="1" si="30"/>
        <v>""</v>
      </c>
      <c r="S105" t="str">
        <f t="shared" ca="1" si="30"/>
        <v>""</v>
      </c>
      <c r="T105" t="s">
        <v>66</v>
      </c>
      <c r="U105" s="11" t="s">
        <v>50</v>
      </c>
      <c r="V105" s="7" t="s">
        <v>67</v>
      </c>
      <c r="W105" s="11" t="s">
        <v>50</v>
      </c>
      <c r="X105" t="str">
        <f t="shared" ca="1" si="21"/>
        <v>"P20"</v>
      </c>
      <c r="Y105" s="9">
        <f t="shared" ca="1" si="27"/>
        <v>0</v>
      </c>
      <c r="Z105" s="9">
        <f t="shared" ca="1" si="27"/>
        <v>0</v>
      </c>
      <c r="AA105" s="6" t="s">
        <v>45</v>
      </c>
      <c r="AB105" s="13" t="s">
        <v>50</v>
      </c>
      <c r="AC105" s="7" t="s">
        <v>68</v>
      </c>
      <c r="AD105" s="13" t="s">
        <v>50</v>
      </c>
      <c r="AE105" s="6">
        <f t="shared" ca="1" si="28"/>
        <v>0</v>
      </c>
      <c r="AF105" t="str">
        <f t="shared" ca="1" si="32"/>
        <v>"1"</v>
      </c>
      <c r="AG105" t="str">
        <f t="shared" ca="1" si="32"/>
        <v>"1001.X710.X"</v>
      </c>
      <c r="AH105" s="14">
        <f t="shared" ca="1" si="29"/>
        <v>42277</v>
      </c>
      <c r="AI105" s="6" t="s">
        <v>45</v>
      </c>
      <c r="AJ105" t="str">
        <f t="shared" ca="1" si="22"/>
        <v>""</v>
      </c>
      <c r="AK105" t="str">
        <f t="shared" ca="1" si="22"/>
        <v>""</v>
      </c>
      <c r="AL105" t="str">
        <f t="shared" ca="1" si="22"/>
        <v>"P20"</v>
      </c>
      <c r="AM105" t="s">
        <v>66</v>
      </c>
      <c r="AN105" t="s">
        <v>66</v>
      </c>
      <c r="AO105" s="7" t="s">
        <v>50</v>
      </c>
      <c r="AP105" s="12" t="s">
        <v>58</v>
      </c>
    </row>
    <row r="106" spans="1:42" x14ac:dyDescent="0.3">
      <c r="A106" s="7" t="s">
        <v>63</v>
      </c>
      <c r="B106" s="7" t="s">
        <v>64</v>
      </c>
      <c r="C106" s="7" t="s">
        <v>50</v>
      </c>
      <c r="D106" t="str">
        <f t="shared" ca="1" si="18"/>
        <v>""</v>
      </c>
      <c r="E106" s="14">
        <f t="shared" ca="1" si="23"/>
        <v>0</v>
      </c>
      <c r="F106" s="6">
        <f t="shared" ca="1" si="24"/>
        <v>0</v>
      </c>
      <c r="G106" t="s">
        <v>65</v>
      </c>
      <c r="H106" t="str">
        <f t="shared" ca="1" si="19"/>
        <v>""</v>
      </c>
      <c r="I106" s="9">
        <f t="shared" ca="1" si="25"/>
        <v>0</v>
      </c>
      <c r="J106" s="14">
        <f t="shared" ca="1" si="26"/>
        <v>0</v>
      </c>
      <c r="K106" s="14">
        <f t="shared" ca="1" si="26"/>
        <v>0</v>
      </c>
      <c r="L106" s="9">
        <v>0</v>
      </c>
      <c r="M106" t="str">
        <f ca="1">Quotes&amp;Format!N110&amp;UPPER(INDIRECT(M$1,TRUE))&amp;Quotes</f>
        <v>""</v>
      </c>
      <c r="N106" t="str">
        <f t="shared" ca="1" si="20"/>
        <v>","</v>
      </c>
      <c r="O106" t="s">
        <v>66</v>
      </c>
      <c r="P106" t="str">
        <f t="shared" ca="1" si="30"/>
        <v>""</v>
      </c>
      <c r="Q106" t="str">
        <f t="shared" ca="1" si="30"/>
        <v>""</v>
      </c>
      <c r="R106" t="str">
        <f t="shared" ca="1" si="30"/>
        <v>""</v>
      </c>
      <c r="S106" t="str">
        <f t="shared" ca="1" si="30"/>
        <v>""</v>
      </c>
      <c r="T106" t="s">
        <v>66</v>
      </c>
      <c r="U106" s="11" t="s">
        <v>50</v>
      </c>
      <c r="V106" s="7" t="s">
        <v>67</v>
      </c>
      <c r="W106" s="11" t="s">
        <v>50</v>
      </c>
      <c r="X106" t="str">
        <f t="shared" ca="1" si="21"/>
        <v>"P20"</v>
      </c>
      <c r="Y106" s="9">
        <f t="shared" ca="1" si="27"/>
        <v>0</v>
      </c>
      <c r="Z106" s="9">
        <f t="shared" ca="1" si="27"/>
        <v>0</v>
      </c>
      <c r="AA106" s="6" t="s">
        <v>45</v>
      </c>
      <c r="AB106" s="13" t="s">
        <v>50</v>
      </c>
      <c r="AC106" s="7" t="s">
        <v>68</v>
      </c>
      <c r="AD106" s="13" t="s">
        <v>50</v>
      </c>
      <c r="AE106" s="6">
        <f t="shared" ca="1" si="28"/>
        <v>0</v>
      </c>
      <c r="AF106" t="str">
        <f t="shared" ca="1" si="32"/>
        <v>"1"</v>
      </c>
      <c r="AG106" t="str">
        <f t="shared" ca="1" si="32"/>
        <v>"1001.X710.X"</v>
      </c>
      <c r="AH106" s="14">
        <f t="shared" ca="1" si="29"/>
        <v>42277</v>
      </c>
      <c r="AI106" s="6" t="s">
        <v>45</v>
      </c>
      <c r="AJ106" t="str">
        <f t="shared" ca="1" si="22"/>
        <v>""</v>
      </c>
      <c r="AK106" t="str">
        <f t="shared" ca="1" si="22"/>
        <v>""</v>
      </c>
      <c r="AL106" t="str">
        <f t="shared" ca="1" si="22"/>
        <v>"P20"</v>
      </c>
      <c r="AM106" t="s">
        <v>66</v>
      </c>
      <c r="AN106" t="s">
        <v>66</v>
      </c>
      <c r="AO106" s="7" t="s">
        <v>50</v>
      </c>
      <c r="AP106" s="12" t="s">
        <v>58</v>
      </c>
    </row>
    <row r="107" spans="1:42" x14ac:dyDescent="0.3">
      <c r="A107" s="7" t="s">
        <v>63</v>
      </c>
      <c r="B107" s="7" t="s">
        <v>64</v>
      </c>
      <c r="C107" s="7" t="s">
        <v>50</v>
      </c>
      <c r="D107" t="str">
        <f t="shared" ca="1" si="18"/>
        <v>""</v>
      </c>
      <c r="E107" s="14">
        <f t="shared" ca="1" si="23"/>
        <v>0</v>
      </c>
      <c r="F107" s="6">
        <f t="shared" ca="1" si="24"/>
        <v>0</v>
      </c>
      <c r="G107" t="s">
        <v>65</v>
      </c>
      <c r="H107" t="str">
        <f t="shared" ca="1" si="19"/>
        <v>""</v>
      </c>
      <c r="I107" s="9">
        <f t="shared" ca="1" si="25"/>
        <v>0</v>
      </c>
      <c r="J107" s="14">
        <f t="shared" ca="1" si="26"/>
        <v>0</v>
      </c>
      <c r="K107" s="14">
        <f t="shared" ca="1" si="26"/>
        <v>0</v>
      </c>
      <c r="L107" s="9">
        <v>0</v>
      </c>
      <c r="M107" t="str">
        <f ca="1">Quotes&amp;Format!N111&amp;UPPER(INDIRECT(M$1,TRUE))&amp;Quotes</f>
        <v>""</v>
      </c>
      <c r="N107" t="str">
        <f t="shared" ca="1" si="20"/>
        <v>","</v>
      </c>
      <c r="O107" t="s">
        <v>66</v>
      </c>
      <c r="P107" t="str">
        <f t="shared" ca="1" si="30"/>
        <v>""</v>
      </c>
      <c r="Q107" t="str">
        <f t="shared" ca="1" si="30"/>
        <v>""</v>
      </c>
      <c r="R107" t="str">
        <f t="shared" ca="1" si="30"/>
        <v>""</v>
      </c>
      <c r="S107" t="str">
        <f t="shared" ca="1" si="30"/>
        <v>""</v>
      </c>
      <c r="T107" t="s">
        <v>66</v>
      </c>
      <c r="U107" s="11" t="s">
        <v>50</v>
      </c>
      <c r="V107" s="7" t="s">
        <v>67</v>
      </c>
      <c r="W107" s="11" t="s">
        <v>50</v>
      </c>
      <c r="X107" t="str">
        <f t="shared" ca="1" si="21"/>
        <v>"P20"</v>
      </c>
      <c r="Y107" s="9">
        <f t="shared" ca="1" si="27"/>
        <v>0</v>
      </c>
      <c r="Z107" s="9">
        <f t="shared" ca="1" si="27"/>
        <v>0</v>
      </c>
      <c r="AA107" s="6" t="s">
        <v>45</v>
      </c>
      <c r="AB107" s="13" t="s">
        <v>50</v>
      </c>
      <c r="AC107" s="7" t="s">
        <v>68</v>
      </c>
      <c r="AD107" s="13" t="s">
        <v>50</v>
      </c>
      <c r="AE107" s="6">
        <f t="shared" ca="1" si="28"/>
        <v>0</v>
      </c>
      <c r="AF107" t="str">
        <f t="shared" ca="1" si="32"/>
        <v>"1"</v>
      </c>
      <c r="AG107" t="str">
        <f t="shared" ca="1" si="32"/>
        <v>"1001.X710.X"</v>
      </c>
      <c r="AH107" s="14">
        <f t="shared" ca="1" si="29"/>
        <v>42277</v>
      </c>
      <c r="AI107" s="6" t="s">
        <v>45</v>
      </c>
      <c r="AJ107" t="str">
        <f t="shared" ca="1" si="22"/>
        <v>""</v>
      </c>
      <c r="AK107" t="str">
        <f t="shared" ca="1" si="22"/>
        <v>""</v>
      </c>
      <c r="AL107" t="str">
        <f t="shared" ca="1" si="22"/>
        <v>"P20"</v>
      </c>
      <c r="AM107" t="s">
        <v>66</v>
      </c>
      <c r="AN107" t="s">
        <v>66</v>
      </c>
      <c r="AO107" s="7" t="s">
        <v>50</v>
      </c>
      <c r="AP107" s="12" t="s">
        <v>58</v>
      </c>
    </row>
    <row r="108" spans="1:42" x14ac:dyDescent="0.3">
      <c r="A108" s="7" t="s">
        <v>63</v>
      </c>
      <c r="B108" s="7" t="s">
        <v>64</v>
      </c>
      <c r="C108" s="7" t="s">
        <v>50</v>
      </c>
      <c r="D108" t="str">
        <f t="shared" ca="1" si="18"/>
        <v>""</v>
      </c>
      <c r="E108" s="14">
        <f t="shared" ca="1" si="23"/>
        <v>0</v>
      </c>
      <c r="F108" s="6">
        <f t="shared" ca="1" si="24"/>
        <v>0</v>
      </c>
      <c r="G108" t="s">
        <v>65</v>
      </c>
      <c r="H108" t="str">
        <f t="shared" ca="1" si="19"/>
        <v>""</v>
      </c>
      <c r="I108" s="9">
        <f t="shared" ca="1" si="25"/>
        <v>0</v>
      </c>
      <c r="J108" s="14">
        <f t="shared" ca="1" si="26"/>
        <v>0</v>
      </c>
      <c r="K108" s="14">
        <f t="shared" ca="1" si="26"/>
        <v>0</v>
      </c>
      <c r="L108" s="9">
        <v>0</v>
      </c>
      <c r="M108" t="str">
        <f ca="1">Quotes&amp;Format!N112&amp;UPPER(INDIRECT(M$1,TRUE))&amp;Quotes</f>
        <v>""</v>
      </c>
      <c r="N108" t="str">
        <f t="shared" ca="1" si="20"/>
        <v>","</v>
      </c>
      <c r="O108" t="s">
        <v>66</v>
      </c>
      <c r="P108" t="str">
        <f t="shared" ca="1" si="30"/>
        <v>""</v>
      </c>
      <c r="Q108" t="str">
        <f t="shared" ca="1" si="30"/>
        <v>""</v>
      </c>
      <c r="R108" t="str">
        <f t="shared" ca="1" si="30"/>
        <v>""</v>
      </c>
      <c r="S108" t="str">
        <f t="shared" ca="1" si="30"/>
        <v>""</v>
      </c>
      <c r="T108" t="s">
        <v>66</v>
      </c>
      <c r="U108" s="11" t="s">
        <v>50</v>
      </c>
      <c r="V108" s="7" t="s">
        <v>67</v>
      </c>
      <c r="W108" s="11" t="s">
        <v>50</v>
      </c>
      <c r="X108" t="str">
        <f t="shared" ca="1" si="21"/>
        <v>"P20"</v>
      </c>
      <c r="Y108" s="9">
        <f t="shared" ca="1" si="27"/>
        <v>0</v>
      </c>
      <c r="Z108" s="9">
        <f t="shared" ca="1" si="27"/>
        <v>0</v>
      </c>
      <c r="AA108" s="6" t="s">
        <v>45</v>
      </c>
      <c r="AB108" s="13" t="s">
        <v>50</v>
      </c>
      <c r="AC108" s="7" t="s">
        <v>68</v>
      </c>
      <c r="AD108" s="13" t="s">
        <v>50</v>
      </c>
      <c r="AE108" s="6">
        <f t="shared" ca="1" si="28"/>
        <v>0</v>
      </c>
      <c r="AF108" t="str">
        <f t="shared" ca="1" si="32"/>
        <v>"1"</v>
      </c>
      <c r="AG108" t="str">
        <f t="shared" ca="1" si="32"/>
        <v>"1001.X710.X"</v>
      </c>
      <c r="AH108" s="14">
        <f t="shared" ca="1" si="29"/>
        <v>42277</v>
      </c>
      <c r="AI108" s="6" t="s">
        <v>45</v>
      </c>
      <c r="AJ108" t="str">
        <f t="shared" ca="1" si="22"/>
        <v>""</v>
      </c>
      <c r="AK108" t="str">
        <f t="shared" ca="1" si="22"/>
        <v>""</v>
      </c>
      <c r="AL108" t="str">
        <f t="shared" ca="1" si="22"/>
        <v>"P20"</v>
      </c>
      <c r="AM108" t="s">
        <v>66</v>
      </c>
      <c r="AN108" t="s">
        <v>66</v>
      </c>
      <c r="AO108" s="7" t="s">
        <v>50</v>
      </c>
      <c r="AP108" s="12" t="s">
        <v>58</v>
      </c>
    </row>
    <row r="109" spans="1:42" x14ac:dyDescent="0.3">
      <c r="A109" s="7" t="s">
        <v>63</v>
      </c>
      <c r="B109" s="7" t="s">
        <v>64</v>
      </c>
      <c r="C109" s="7" t="s">
        <v>50</v>
      </c>
      <c r="D109" t="str">
        <f t="shared" ca="1" si="18"/>
        <v>""</v>
      </c>
      <c r="E109" s="14">
        <f t="shared" ca="1" si="23"/>
        <v>0</v>
      </c>
      <c r="F109" s="6">
        <f t="shared" ca="1" si="24"/>
        <v>0</v>
      </c>
      <c r="G109" t="s">
        <v>65</v>
      </c>
      <c r="H109" t="str">
        <f t="shared" ca="1" si="19"/>
        <v>""</v>
      </c>
      <c r="I109" s="9">
        <f t="shared" ca="1" si="25"/>
        <v>0</v>
      </c>
      <c r="J109" s="14">
        <f t="shared" ca="1" si="26"/>
        <v>0</v>
      </c>
      <c r="K109" s="14">
        <f t="shared" ca="1" si="26"/>
        <v>0</v>
      </c>
      <c r="L109" s="9">
        <v>0</v>
      </c>
      <c r="M109" t="str">
        <f ca="1">Quotes&amp;Format!N113&amp;UPPER(INDIRECT(M$1,TRUE))&amp;Quotes</f>
        <v>""</v>
      </c>
      <c r="N109" t="str">
        <f t="shared" ca="1" si="20"/>
        <v>","</v>
      </c>
      <c r="O109" t="s">
        <v>66</v>
      </c>
      <c r="P109" t="str">
        <f t="shared" ca="1" si="30"/>
        <v>""</v>
      </c>
      <c r="Q109" t="str">
        <f t="shared" ca="1" si="30"/>
        <v>""</v>
      </c>
      <c r="R109" t="str">
        <f t="shared" ca="1" si="30"/>
        <v>""</v>
      </c>
      <c r="S109" t="str">
        <f t="shared" ca="1" si="30"/>
        <v>""</v>
      </c>
      <c r="T109" t="s">
        <v>66</v>
      </c>
      <c r="U109" s="11" t="s">
        <v>50</v>
      </c>
      <c r="V109" s="7" t="s">
        <v>67</v>
      </c>
      <c r="W109" s="11" t="s">
        <v>50</v>
      </c>
      <c r="X109" t="str">
        <f t="shared" ca="1" si="21"/>
        <v>"P20"</v>
      </c>
      <c r="Y109" s="9">
        <f t="shared" ca="1" si="27"/>
        <v>0</v>
      </c>
      <c r="Z109" s="9">
        <f t="shared" ca="1" si="27"/>
        <v>0</v>
      </c>
      <c r="AA109" s="6" t="s">
        <v>45</v>
      </c>
      <c r="AB109" s="13" t="s">
        <v>50</v>
      </c>
      <c r="AC109" s="7" t="s">
        <v>68</v>
      </c>
      <c r="AD109" s="13" t="s">
        <v>50</v>
      </c>
      <c r="AE109" s="6">
        <f t="shared" ca="1" si="28"/>
        <v>0</v>
      </c>
      <c r="AF109" t="str">
        <f t="shared" ca="1" si="32"/>
        <v>"1"</v>
      </c>
      <c r="AG109" t="str">
        <f t="shared" ca="1" si="32"/>
        <v>"1001.X710.X"</v>
      </c>
      <c r="AH109" s="14">
        <f t="shared" ca="1" si="29"/>
        <v>42277</v>
      </c>
      <c r="AI109" s="6" t="s">
        <v>45</v>
      </c>
      <c r="AJ109" t="str">
        <f t="shared" ca="1" si="22"/>
        <v>""</v>
      </c>
      <c r="AK109" t="str">
        <f t="shared" ca="1" si="22"/>
        <v>""</v>
      </c>
      <c r="AL109" t="str">
        <f t="shared" ca="1" si="22"/>
        <v>"P20"</v>
      </c>
      <c r="AM109" t="s">
        <v>66</v>
      </c>
      <c r="AN109" t="s">
        <v>66</v>
      </c>
      <c r="AO109" s="7" t="s">
        <v>50</v>
      </c>
      <c r="AP109" s="12" t="s">
        <v>58</v>
      </c>
    </row>
    <row r="110" spans="1:42" x14ac:dyDescent="0.3">
      <c r="A110" s="7" t="s">
        <v>63</v>
      </c>
      <c r="B110" s="7" t="s">
        <v>64</v>
      </c>
      <c r="C110" s="7" t="s">
        <v>50</v>
      </c>
      <c r="D110" t="str">
        <f t="shared" ca="1" si="18"/>
        <v>""</v>
      </c>
      <c r="E110" s="14">
        <f t="shared" ca="1" si="23"/>
        <v>0</v>
      </c>
      <c r="F110" s="6">
        <f t="shared" ca="1" si="24"/>
        <v>0</v>
      </c>
      <c r="G110" t="s">
        <v>65</v>
      </c>
      <c r="H110" t="str">
        <f t="shared" ca="1" si="19"/>
        <v>""</v>
      </c>
      <c r="I110" s="9">
        <f t="shared" ca="1" si="25"/>
        <v>0</v>
      </c>
      <c r="J110" s="14">
        <f t="shared" ca="1" si="26"/>
        <v>0</v>
      </c>
      <c r="K110" s="14">
        <f t="shared" ca="1" si="26"/>
        <v>0</v>
      </c>
      <c r="L110" s="9">
        <v>0</v>
      </c>
      <c r="M110" t="str">
        <f ca="1">Quotes&amp;Format!N114&amp;UPPER(INDIRECT(M$1,TRUE))&amp;Quotes</f>
        <v>""</v>
      </c>
      <c r="N110" t="str">
        <f t="shared" ca="1" si="20"/>
        <v>","</v>
      </c>
      <c r="O110" t="s">
        <v>66</v>
      </c>
      <c r="P110" t="str">
        <f t="shared" ca="1" si="30"/>
        <v>""</v>
      </c>
      <c r="Q110" t="str">
        <f t="shared" ca="1" si="30"/>
        <v>""</v>
      </c>
      <c r="R110" t="str">
        <f t="shared" ca="1" si="30"/>
        <v>""</v>
      </c>
      <c r="S110" t="str">
        <f t="shared" ca="1" si="30"/>
        <v>""</v>
      </c>
      <c r="T110" t="s">
        <v>66</v>
      </c>
      <c r="U110" s="11" t="s">
        <v>50</v>
      </c>
      <c r="V110" s="7" t="s">
        <v>67</v>
      </c>
      <c r="W110" s="11" t="s">
        <v>50</v>
      </c>
      <c r="X110" t="str">
        <f t="shared" ca="1" si="21"/>
        <v>"P20"</v>
      </c>
      <c r="Y110" s="9">
        <f t="shared" ca="1" si="27"/>
        <v>0</v>
      </c>
      <c r="Z110" s="9">
        <f t="shared" ca="1" si="27"/>
        <v>0</v>
      </c>
      <c r="AA110" s="6" t="s">
        <v>45</v>
      </c>
      <c r="AB110" s="13" t="s">
        <v>50</v>
      </c>
      <c r="AC110" s="7" t="s">
        <v>68</v>
      </c>
      <c r="AD110" s="13" t="s">
        <v>50</v>
      </c>
      <c r="AE110" s="6">
        <f t="shared" ca="1" si="28"/>
        <v>0</v>
      </c>
      <c r="AF110" t="str">
        <f t="shared" ca="1" si="32"/>
        <v>"1"</v>
      </c>
      <c r="AG110" t="str">
        <f t="shared" ca="1" si="32"/>
        <v>"1001.X710.X"</v>
      </c>
      <c r="AH110" s="14">
        <f t="shared" ca="1" si="29"/>
        <v>42277</v>
      </c>
      <c r="AI110" s="6" t="s">
        <v>45</v>
      </c>
      <c r="AJ110" t="str">
        <f t="shared" ca="1" si="22"/>
        <v>""</v>
      </c>
      <c r="AK110" t="str">
        <f t="shared" ca="1" si="22"/>
        <v>""</v>
      </c>
      <c r="AL110" t="str">
        <f t="shared" ca="1" si="22"/>
        <v>"P20"</v>
      </c>
      <c r="AM110" t="s">
        <v>66</v>
      </c>
      <c r="AN110" t="s">
        <v>66</v>
      </c>
      <c r="AO110" s="7" t="s">
        <v>50</v>
      </c>
      <c r="AP110" s="12" t="s">
        <v>58</v>
      </c>
    </row>
    <row r="111" spans="1:42" x14ac:dyDescent="0.3">
      <c r="A111" s="7" t="s">
        <v>63</v>
      </c>
      <c r="B111" s="7" t="s">
        <v>64</v>
      </c>
      <c r="C111" s="7" t="s">
        <v>50</v>
      </c>
      <c r="D111" t="str">
        <f t="shared" ca="1" si="18"/>
        <v>""</v>
      </c>
      <c r="E111" s="14">
        <f t="shared" ca="1" si="23"/>
        <v>0</v>
      </c>
      <c r="F111" s="6">
        <f t="shared" ca="1" si="24"/>
        <v>0</v>
      </c>
      <c r="G111" t="s">
        <v>65</v>
      </c>
      <c r="H111" t="str">
        <f t="shared" ca="1" si="19"/>
        <v>""</v>
      </c>
      <c r="I111" s="9">
        <f t="shared" ca="1" si="25"/>
        <v>0</v>
      </c>
      <c r="J111" s="14">
        <f t="shared" ca="1" si="26"/>
        <v>0</v>
      </c>
      <c r="K111" s="14">
        <f t="shared" ca="1" si="26"/>
        <v>0</v>
      </c>
      <c r="L111" s="9">
        <v>0</v>
      </c>
      <c r="M111" t="str">
        <f ca="1">Quotes&amp;Format!N115&amp;UPPER(INDIRECT(M$1,TRUE))&amp;Quotes</f>
        <v>""</v>
      </c>
      <c r="N111" t="str">
        <f t="shared" ca="1" si="20"/>
        <v>","</v>
      </c>
      <c r="O111" t="s">
        <v>66</v>
      </c>
      <c r="P111" t="str">
        <f t="shared" ca="1" si="30"/>
        <v>""</v>
      </c>
      <c r="Q111" t="str">
        <f t="shared" ca="1" si="30"/>
        <v>""</v>
      </c>
      <c r="R111" t="str">
        <f t="shared" ca="1" si="30"/>
        <v>""</v>
      </c>
      <c r="S111" t="str">
        <f t="shared" ca="1" si="30"/>
        <v>""</v>
      </c>
      <c r="T111" t="s">
        <v>66</v>
      </c>
      <c r="U111" s="11" t="s">
        <v>50</v>
      </c>
      <c r="V111" s="7" t="s">
        <v>67</v>
      </c>
      <c r="W111" s="11" t="s">
        <v>50</v>
      </c>
      <c r="X111" t="str">
        <f t="shared" ca="1" si="21"/>
        <v>"P20"</v>
      </c>
      <c r="Y111" s="9">
        <f t="shared" ca="1" si="27"/>
        <v>0</v>
      </c>
      <c r="Z111" s="9">
        <f t="shared" ca="1" si="27"/>
        <v>0</v>
      </c>
      <c r="AA111" s="6" t="s">
        <v>45</v>
      </c>
      <c r="AB111" s="13" t="s">
        <v>50</v>
      </c>
      <c r="AC111" s="7" t="s">
        <v>68</v>
      </c>
      <c r="AD111" s="13" t="s">
        <v>50</v>
      </c>
      <c r="AE111" s="6">
        <f t="shared" ca="1" si="28"/>
        <v>0</v>
      </c>
      <c r="AF111" t="str">
        <f t="shared" ca="1" si="32"/>
        <v>"1"</v>
      </c>
      <c r="AG111" t="str">
        <f t="shared" ca="1" si="32"/>
        <v>"1001.X710.X"</v>
      </c>
      <c r="AH111" s="14">
        <f t="shared" ca="1" si="29"/>
        <v>42277</v>
      </c>
      <c r="AI111" s="6" t="s">
        <v>45</v>
      </c>
      <c r="AJ111" t="str">
        <f t="shared" ca="1" si="22"/>
        <v>""</v>
      </c>
      <c r="AK111" t="str">
        <f t="shared" ca="1" si="22"/>
        <v>""</v>
      </c>
      <c r="AL111" t="str">
        <f t="shared" ca="1" si="22"/>
        <v>"P20"</v>
      </c>
      <c r="AM111" t="s">
        <v>66</v>
      </c>
      <c r="AN111" t="s">
        <v>66</v>
      </c>
      <c r="AO111" s="7" t="s">
        <v>50</v>
      </c>
      <c r="AP111" s="12" t="s">
        <v>58</v>
      </c>
    </row>
    <row r="112" spans="1:42" x14ac:dyDescent="0.3">
      <c r="A112" s="7" t="s">
        <v>63</v>
      </c>
      <c r="B112" s="7" t="s">
        <v>64</v>
      </c>
      <c r="C112" s="7" t="s">
        <v>50</v>
      </c>
      <c r="D112" t="str">
        <f t="shared" ca="1" si="18"/>
        <v>""</v>
      </c>
      <c r="E112" s="14">
        <f t="shared" ca="1" si="23"/>
        <v>0</v>
      </c>
      <c r="F112" s="6">
        <f t="shared" ca="1" si="24"/>
        <v>0</v>
      </c>
      <c r="G112" t="s">
        <v>65</v>
      </c>
      <c r="H112" t="str">
        <f t="shared" ca="1" si="19"/>
        <v>""</v>
      </c>
      <c r="I112" s="9">
        <f t="shared" ca="1" si="25"/>
        <v>0</v>
      </c>
      <c r="J112" s="14">
        <f t="shared" ca="1" si="26"/>
        <v>0</v>
      </c>
      <c r="K112" s="14">
        <f t="shared" ca="1" si="26"/>
        <v>0</v>
      </c>
      <c r="L112" s="9">
        <v>0</v>
      </c>
      <c r="M112" t="str">
        <f ca="1">Quotes&amp;Format!N116&amp;UPPER(INDIRECT(M$1,TRUE))&amp;Quotes</f>
        <v>""</v>
      </c>
      <c r="N112" t="str">
        <f t="shared" ca="1" si="20"/>
        <v>","</v>
      </c>
      <c r="O112" t="s">
        <v>66</v>
      </c>
      <c r="P112" t="str">
        <f t="shared" ca="1" si="30"/>
        <v>""</v>
      </c>
      <c r="Q112" t="str">
        <f t="shared" ca="1" si="30"/>
        <v>""</v>
      </c>
      <c r="R112" t="str">
        <f t="shared" ca="1" si="30"/>
        <v>""</v>
      </c>
      <c r="S112" t="str">
        <f t="shared" ca="1" si="30"/>
        <v>""</v>
      </c>
      <c r="T112" t="s">
        <v>66</v>
      </c>
      <c r="U112" s="11" t="s">
        <v>50</v>
      </c>
      <c r="V112" s="7" t="s">
        <v>67</v>
      </c>
      <c r="W112" s="11" t="s">
        <v>50</v>
      </c>
      <c r="X112" t="str">
        <f t="shared" ca="1" si="21"/>
        <v>"P20"</v>
      </c>
      <c r="Y112" s="9">
        <f t="shared" ca="1" si="27"/>
        <v>0</v>
      </c>
      <c r="Z112" s="9">
        <f t="shared" ca="1" si="27"/>
        <v>0</v>
      </c>
      <c r="AA112" s="6" t="s">
        <v>45</v>
      </c>
      <c r="AB112" s="13" t="s">
        <v>50</v>
      </c>
      <c r="AC112" s="7" t="s">
        <v>68</v>
      </c>
      <c r="AD112" s="13" t="s">
        <v>50</v>
      </c>
      <c r="AE112" s="6">
        <f t="shared" ca="1" si="28"/>
        <v>0</v>
      </c>
      <c r="AF112" t="str">
        <f t="shared" ca="1" si="32"/>
        <v>"1"</v>
      </c>
      <c r="AG112" t="str">
        <f t="shared" ca="1" si="32"/>
        <v>"1001.X710.X"</v>
      </c>
      <c r="AH112" s="14">
        <f t="shared" ca="1" si="29"/>
        <v>42277</v>
      </c>
      <c r="AI112" s="6" t="s">
        <v>45</v>
      </c>
      <c r="AJ112" t="str">
        <f t="shared" ca="1" si="22"/>
        <v>""</v>
      </c>
      <c r="AK112" t="str">
        <f t="shared" ca="1" si="22"/>
        <v>""</v>
      </c>
      <c r="AL112" t="str">
        <f t="shared" ca="1" si="22"/>
        <v>"P20"</v>
      </c>
      <c r="AM112" t="s">
        <v>66</v>
      </c>
      <c r="AN112" t="s">
        <v>66</v>
      </c>
      <c r="AO112" s="7" t="s">
        <v>50</v>
      </c>
      <c r="AP112" s="12" t="s">
        <v>58</v>
      </c>
    </row>
    <row r="113" spans="1:42" x14ac:dyDescent="0.3">
      <c r="A113" s="7" t="s">
        <v>63</v>
      </c>
      <c r="B113" s="7" t="s">
        <v>64</v>
      </c>
      <c r="C113" s="7" t="s">
        <v>50</v>
      </c>
      <c r="D113" t="str">
        <f t="shared" ca="1" si="18"/>
        <v>""</v>
      </c>
      <c r="E113" s="14">
        <f t="shared" ca="1" si="23"/>
        <v>0</v>
      </c>
      <c r="F113" s="6">
        <f t="shared" ca="1" si="24"/>
        <v>0</v>
      </c>
      <c r="G113" t="s">
        <v>65</v>
      </c>
      <c r="H113" t="str">
        <f t="shared" ca="1" si="19"/>
        <v>""</v>
      </c>
      <c r="I113" s="9">
        <f t="shared" ca="1" si="25"/>
        <v>0</v>
      </c>
      <c r="J113" s="14">
        <f t="shared" ca="1" si="26"/>
        <v>0</v>
      </c>
      <c r="K113" s="14">
        <f t="shared" ca="1" si="26"/>
        <v>0</v>
      </c>
      <c r="L113" s="9">
        <v>0</v>
      </c>
      <c r="M113" t="str">
        <f ca="1">Quotes&amp;Format!N117&amp;UPPER(INDIRECT(M$1,TRUE))&amp;Quotes</f>
        <v>""</v>
      </c>
      <c r="N113" t="str">
        <f t="shared" ca="1" si="20"/>
        <v>","</v>
      </c>
      <c r="O113" t="s">
        <v>66</v>
      </c>
      <c r="P113" t="str">
        <f t="shared" ca="1" si="30"/>
        <v>""</v>
      </c>
      <c r="Q113" t="str">
        <f t="shared" ca="1" si="30"/>
        <v>""</v>
      </c>
      <c r="R113" t="str">
        <f t="shared" ca="1" si="30"/>
        <v>""</v>
      </c>
      <c r="S113" t="str">
        <f t="shared" ca="1" si="30"/>
        <v>""</v>
      </c>
      <c r="T113" t="s">
        <v>66</v>
      </c>
      <c r="U113" s="11" t="s">
        <v>50</v>
      </c>
      <c r="V113" s="7" t="s">
        <v>67</v>
      </c>
      <c r="W113" s="11" t="s">
        <v>50</v>
      </c>
      <c r="X113" t="str">
        <f t="shared" ca="1" si="21"/>
        <v>"P20"</v>
      </c>
      <c r="Y113" s="9">
        <f t="shared" ca="1" si="27"/>
        <v>0</v>
      </c>
      <c r="Z113" s="9">
        <f t="shared" ca="1" si="27"/>
        <v>0</v>
      </c>
      <c r="AA113" s="6" t="s">
        <v>45</v>
      </c>
      <c r="AB113" s="13" t="s">
        <v>50</v>
      </c>
      <c r="AC113" s="7" t="s">
        <v>68</v>
      </c>
      <c r="AD113" s="13" t="s">
        <v>50</v>
      </c>
      <c r="AE113" s="6">
        <f t="shared" ca="1" si="28"/>
        <v>0</v>
      </c>
      <c r="AF113" t="str">
        <f t="shared" ca="1" si="32"/>
        <v>"1"</v>
      </c>
      <c r="AG113" t="str">
        <f t="shared" ca="1" si="32"/>
        <v>"1001.X710.X"</v>
      </c>
      <c r="AH113" s="14">
        <f t="shared" ca="1" si="29"/>
        <v>42277</v>
      </c>
      <c r="AI113" s="6" t="s">
        <v>45</v>
      </c>
      <c r="AJ113" t="str">
        <f t="shared" ca="1" si="22"/>
        <v>""</v>
      </c>
      <c r="AK113" t="str">
        <f t="shared" ca="1" si="22"/>
        <v>""</v>
      </c>
      <c r="AL113" t="str">
        <f t="shared" ca="1" si="22"/>
        <v>"P20"</v>
      </c>
      <c r="AM113" t="s">
        <v>66</v>
      </c>
      <c r="AN113" t="s">
        <v>66</v>
      </c>
      <c r="AO113" s="7" t="s">
        <v>50</v>
      </c>
      <c r="AP113" s="12" t="s">
        <v>58</v>
      </c>
    </row>
    <row r="114" spans="1:42" x14ac:dyDescent="0.3">
      <c r="A114" s="7" t="s">
        <v>63</v>
      </c>
      <c r="B114" s="7" t="s">
        <v>64</v>
      </c>
      <c r="C114" s="7" t="s">
        <v>50</v>
      </c>
      <c r="D114" t="str">
        <f t="shared" ca="1" si="18"/>
        <v>""</v>
      </c>
      <c r="E114" s="14">
        <f t="shared" ca="1" si="23"/>
        <v>0</v>
      </c>
      <c r="F114" s="6">
        <f t="shared" ca="1" si="24"/>
        <v>0</v>
      </c>
      <c r="G114" t="s">
        <v>65</v>
      </c>
      <c r="H114" t="str">
        <f t="shared" ca="1" si="19"/>
        <v>""</v>
      </c>
      <c r="I114" s="9">
        <f t="shared" ca="1" si="25"/>
        <v>0</v>
      </c>
      <c r="J114" s="14">
        <f t="shared" ca="1" si="26"/>
        <v>0</v>
      </c>
      <c r="K114" s="14">
        <f t="shared" ca="1" si="26"/>
        <v>0</v>
      </c>
      <c r="L114" s="9">
        <v>0</v>
      </c>
      <c r="M114" t="str">
        <f ca="1">Quotes&amp;Format!N118&amp;UPPER(INDIRECT(M$1,TRUE))&amp;Quotes</f>
        <v>""</v>
      </c>
      <c r="N114" t="str">
        <f t="shared" ca="1" si="20"/>
        <v>","</v>
      </c>
      <c r="O114" t="s">
        <v>66</v>
      </c>
      <c r="P114" t="str">
        <f t="shared" ca="1" si="30"/>
        <v>""</v>
      </c>
      <c r="Q114" t="str">
        <f t="shared" ca="1" si="30"/>
        <v>""</v>
      </c>
      <c r="R114" t="str">
        <f t="shared" ca="1" si="30"/>
        <v>""</v>
      </c>
      <c r="S114" t="str">
        <f t="shared" ca="1" si="30"/>
        <v>""</v>
      </c>
      <c r="T114" t="s">
        <v>66</v>
      </c>
      <c r="U114" s="11" t="s">
        <v>50</v>
      </c>
      <c r="V114" s="7" t="s">
        <v>67</v>
      </c>
      <c r="W114" s="11" t="s">
        <v>50</v>
      </c>
      <c r="X114" t="str">
        <f t="shared" ca="1" si="21"/>
        <v>"P20"</v>
      </c>
      <c r="Y114" s="9">
        <f t="shared" ca="1" si="27"/>
        <v>0</v>
      </c>
      <c r="Z114" s="9">
        <f t="shared" ca="1" si="27"/>
        <v>0</v>
      </c>
      <c r="AA114" s="6" t="s">
        <v>45</v>
      </c>
      <c r="AB114" s="13" t="s">
        <v>50</v>
      </c>
      <c r="AC114" s="7" t="s">
        <v>68</v>
      </c>
      <c r="AD114" s="13" t="s">
        <v>50</v>
      </c>
      <c r="AE114" s="6">
        <f t="shared" ca="1" si="28"/>
        <v>0</v>
      </c>
      <c r="AF114" t="str">
        <f t="shared" ca="1" si="32"/>
        <v>"1"</v>
      </c>
      <c r="AG114" t="str">
        <f t="shared" ca="1" si="32"/>
        <v>"1001.X710.X"</v>
      </c>
      <c r="AH114" s="14">
        <f t="shared" ca="1" si="29"/>
        <v>42277</v>
      </c>
      <c r="AI114" s="6" t="s">
        <v>45</v>
      </c>
      <c r="AJ114" t="str">
        <f t="shared" ca="1" si="22"/>
        <v>""</v>
      </c>
      <c r="AK114" t="str">
        <f t="shared" ca="1" si="22"/>
        <v>""</v>
      </c>
      <c r="AL114" t="str">
        <f t="shared" ca="1" si="22"/>
        <v>"P20"</v>
      </c>
      <c r="AM114" t="s">
        <v>66</v>
      </c>
      <c r="AN114" t="s">
        <v>66</v>
      </c>
      <c r="AO114" s="7" t="s">
        <v>50</v>
      </c>
      <c r="AP114" s="12" t="s">
        <v>58</v>
      </c>
    </row>
    <row r="115" spans="1:42" x14ac:dyDescent="0.3">
      <c r="A115" s="7" t="s">
        <v>63</v>
      </c>
      <c r="B115" s="7" t="s">
        <v>64</v>
      </c>
      <c r="C115" s="7" t="s">
        <v>50</v>
      </c>
      <c r="D115" t="str">
        <f t="shared" ca="1" si="18"/>
        <v>""</v>
      </c>
      <c r="E115" s="14">
        <f t="shared" ca="1" si="23"/>
        <v>0</v>
      </c>
      <c r="F115" s="6">
        <f t="shared" ca="1" si="24"/>
        <v>0</v>
      </c>
      <c r="G115" t="s">
        <v>65</v>
      </c>
      <c r="H115" t="str">
        <f t="shared" ca="1" si="19"/>
        <v>""</v>
      </c>
      <c r="I115" s="9">
        <f t="shared" ca="1" si="25"/>
        <v>0</v>
      </c>
      <c r="J115" s="14">
        <f t="shared" ca="1" si="26"/>
        <v>0</v>
      </c>
      <c r="K115" s="14">
        <f t="shared" ca="1" si="26"/>
        <v>0</v>
      </c>
      <c r="L115" s="9">
        <v>0</v>
      </c>
      <c r="M115" t="str">
        <f ca="1">Quotes&amp;Format!N119&amp;UPPER(INDIRECT(M$1,TRUE))&amp;Quotes</f>
        <v>""</v>
      </c>
      <c r="N115" t="str">
        <f t="shared" ca="1" si="20"/>
        <v>","</v>
      </c>
      <c r="O115" t="s">
        <v>66</v>
      </c>
      <c r="P115" t="str">
        <f t="shared" ca="1" si="30"/>
        <v>""</v>
      </c>
      <c r="Q115" t="str">
        <f t="shared" ca="1" si="30"/>
        <v>""</v>
      </c>
      <c r="R115" t="str">
        <f t="shared" ca="1" si="30"/>
        <v>""</v>
      </c>
      <c r="S115" t="str">
        <f t="shared" ca="1" si="30"/>
        <v>""</v>
      </c>
      <c r="T115" t="s">
        <v>66</v>
      </c>
      <c r="U115" s="11" t="s">
        <v>50</v>
      </c>
      <c r="V115" s="7" t="s">
        <v>67</v>
      </c>
      <c r="W115" s="11" t="s">
        <v>50</v>
      </c>
      <c r="X115" t="str">
        <f t="shared" ca="1" si="21"/>
        <v>"P20"</v>
      </c>
      <c r="Y115" s="9">
        <f t="shared" ca="1" si="27"/>
        <v>0</v>
      </c>
      <c r="Z115" s="9">
        <f t="shared" ca="1" si="27"/>
        <v>0</v>
      </c>
      <c r="AA115" s="6" t="s">
        <v>45</v>
      </c>
      <c r="AB115" s="13" t="s">
        <v>50</v>
      </c>
      <c r="AC115" s="7" t="s">
        <v>68</v>
      </c>
      <c r="AD115" s="13" t="s">
        <v>50</v>
      </c>
      <c r="AE115" s="6">
        <f t="shared" ca="1" si="28"/>
        <v>0</v>
      </c>
      <c r="AF115" t="str">
        <f t="shared" ca="1" si="32"/>
        <v>"1"</v>
      </c>
      <c r="AG115" t="str">
        <f t="shared" ca="1" si="32"/>
        <v>"1001.X710.X"</v>
      </c>
      <c r="AH115" s="14">
        <f t="shared" ca="1" si="29"/>
        <v>42277</v>
      </c>
      <c r="AI115" s="6" t="s">
        <v>45</v>
      </c>
      <c r="AJ115" t="str">
        <f t="shared" ca="1" si="22"/>
        <v>""</v>
      </c>
      <c r="AK115" t="str">
        <f t="shared" ca="1" si="22"/>
        <v>""</v>
      </c>
      <c r="AL115" t="str">
        <f t="shared" ca="1" si="22"/>
        <v>"P20"</v>
      </c>
      <c r="AM115" t="s">
        <v>66</v>
      </c>
      <c r="AN115" t="s">
        <v>66</v>
      </c>
      <c r="AO115" s="7" t="s">
        <v>50</v>
      </c>
      <c r="AP115" s="12" t="s">
        <v>58</v>
      </c>
    </row>
    <row r="116" spans="1:42" x14ac:dyDescent="0.3">
      <c r="A116" s="7" t="s">
        <v>63</v>
      </c>
      <c r="B116" s="7" t="s">
        <v>64</v>
      </c>
      <c r="C116" s="7" t="s">
        <v>50</v>
      </c>
      <c r="D116" t="str">
        <f t="shared" ca="1" si="18"/>
        <v>""</v>
      </c>
      <c r="E116" s="14">
        <f t="shared" ca="1" si="23"/>
        <v>0</v>
      </c>
      <c r="F116" s="6">
        <f t="shared" ca="1" si="24"/>
        <v>0</v>
      </c>
      <c r="G116" t="s">
        <v>65</v>
      </c>
      <c r="H116" t="str">
        <f t="shared" ca="1" si="19"/>
        <v>""</v>
      </c>
      <c r="I116" s="9">
        <f t="shared" ca="1" si="25"/>
        <v>0</v>
      </c>
      <c r="J116" s="14">
        <f t="shared" ca="1" si="26"/>
        <v>0</v>
      </c>
      <c r="K116" s="14">
        <f t="shared" ca="1" si="26"/>
        <v>0</v>
      </c>
      <c r="L116" s="9">
        <v>0</v>
      </c>
      <c r="M116" t="str">
        <f ca="1">Quotes&amp;Format!N120&amp;UPPER(INDIRECT(M$1,TRUE))&amp;Quotes</f>
        <v>""</v>
      </c>
      <c r="N116" t="str">
        <f t="shared" ca="1" si="20"/>
        <v>","</v>
      </c>
      <c r="O116" t="s">
        <v>66</v>
      </c>
      <c r="P116" t="str">
        <f t="shared" ca="1" si="30"/>
        <v>""</v>
      </c>
      <c r="Q116" t="str">
        <f t="shared" ca="1" si="30"/>
        <v>""</v>
      </c>
      <c r="R116" t="str">
        <f t="shared" ca="1" si="30"/>
        <v>""</v>
      </c>
      <c r="S116" t="str">
        <f t="shared" ca="1" si="30"/>
        <v>""</v>
      </c>
      <c r="T116" t="s">
        <v>66</v>
      </c>
      <c r="U116" s="11" t="s">
        <v>50</v>
      </c>
      <c r="V116" s="7" t="s">
        <v>67</v>
      </c>
      <c r="W116" s="11" t="s">
        <v>50</v>
      </c>
      <c r="X116" t="str">
        <f t="shared" ca="1" si="21"/>
        <v>"P20"</v>
      </c>
      <c r="Y116" s="9">
        <f t="shared" ca="1" si="27"/>
        <v>0</v>
      </c>
      <c r="Z116" s="9">
        <f t="shared" ca="1" si="27"/>
        <v>0</v>
      </c>
      <c r="AA116" s="6" t="s">
        <v>45</v>
      </c>
      <c r="AB116" s="13" t="s">
        <v>50</v>
      </c>
      <c r="AC116" s="7" t="s">
        <v>68</v>
      </c>
      <c r="AD116" s="13" t="s">
        <v>50</v>
      </c>
      <c r="AE116" s="6">
        <f t="shared" ca="1" si="28"/>
        <v>0</v>
      </c>
      <c r="AF116" t="str">
        <f t="shared" ca="1" si="32"/>
        <v>"1"</v>
      </c>
      <c r="AG116" t="str">
        <f t="shared" ca="1" si="32"/>
        <v>"1001.X710.X"</v>
      </c>
      <c r="AH116" s="14">
        <f t="shared" ca="1" si="29"/>
        <v>42277</v>
      </c>
      <c r="AI116" s="6" t="s">
        <v>45</v>
      </c>
      <c r="AJ116" t="str">
        <f t="shared" ca="1" si="22"/>
        <v>""</v>
      </c>
      <c r="AK116" t="str">
        <f t="shared" ca="1" si="22"/>
        <v>""</v>
      </c>
      <c r="AL116" t="str">
        <f t="shared" ca="1" si="22"/>
        <v>"P20"</v>
      </c>
      <c r="AM116" t="s">
        <v>66</v>
      </c>
      <c r="AN116" t="s">
        <v>66</v>
      </c>
      <c r="AO116" s="7" t="s">
        <v>50</v>
      </c>
      <c r="AP116" s="12" t="s">
        <v>58</v>
      </c>
    </row>
    <row r="117" spans="1:42" x14ac:dyDescent="0.3">
      <c r="A117" s="7" t="s">
        <v>63</v>
      </c>
      <c r="B117" s="7" t="s">
        <v>64</v>
      </c>
      <c r="C117" s="7" t="s">
        <v>50</v>
      </c>
      <c r="D117" t="str">
        <f t="shared" ca="1" si="18"/>
        <v>""</v>
      </c>
      <c r="E117" s="14">
        <f t="shared" ca="1" si="23"/>
        <v>0</v>
      </c>
      <c r="F117" s="6">
        <f t="shared" ca="1" si="24"/>
        <v>0</v>
      </c>
      <c r="G117" t="s">
        <v>65</v>
      </c>
      <c r="H117" t="str">
        <f t="shared" ca="1" si="19"/>
        <v>""</v>
      </c>
      <c r="I117" s="9">
        <f t="shared" ca="1" si="25"/>
        <v>0</v>
      </c>
      <c r="J117" s="14">
        <f t="shared" ca="1" si="26"/>
        <v>0</v>
      </c>
      <c r="K117" s="14">
        <f t="shared" ca="1" si="26"/>
        <v>0</v>
      </c>
      <c r="L117" s="9">
        <v>0</v>
      </c>
      <c r="M117" t="str">
        <f ca="1">Quotes&amp;Format!N121&amp;UPPER(INDIRECT(M$1,TRUE))&amp;Quotes</f>
        <v>""</v>
      </c>
      <c r="N117" t="str">
        <f t="shared" ca="1" si="20"/>
        <v>","</v>
      </c>
      <c r="O117" t="s">
        <v>66</v>
      </c>
      <c r="P117" t="str">
        <f t="shared" ca="1" si="30"/>
        <v>""</v>
      </c>
      <c r="Q117" t="str">
        <f t="shared" ca="1" si="30"/>
        <v>""</v>
      </c>
      <c r="R117" t="str">
        <f t="shared" ca="1" si="30"/>
        <v>""</v>
      </c>
      <c r="S117" t="str">
        <f t="shared" ca="1" si="30"/>
        <v>""</v>
      </c>
      <c r="T117" t="s">
        <v>66</v>
      </c>
      <c r="U117" s="11" t="s">
        <v>50</v>
      </c>
      <c r="V117" s="7" t="s">
        <v>67</v>
      </c>
      <c r="W117" s="11" t="s">
        <v>50</v>
      </c>
      <c r="X117" t="str">
        <f t="shared" ca="1" si="21"/>
        <v>"P20"</v>
      </c>
      <c r="Y117" s="9">
        <f t="shared" ca="1" si="27"/>
        <v>0</v>
      </c>
      <c r="Z117" s="9">
        <f t="shared" ca="1" si="27"/>
        <v>0</v>
      </c>
      <c r="AA117" s="6" t="s">
        <v>45</v>
      </c>
      <c r="AB117" s="13" t="s">
        <v>50</v>
      </c>
      <c r="AC117" s="7" t="s">
        <v>68</v>
      </c>
      <c r="AD117" s="13" t="s">
        <v>50</v>
      </c>
      <c r="AE117" s="6">
        <f t="shared" ca="1" si="28"/>
        <v>0</v>
      </c>
      <c r="AF117" t="str">
        <f t="shared" ca="1" si="32"/>
        <v>"1"</v>
      </c>
      <c r="AG117" t="str">
        <f t="shared" ca="1" si="32"/>
        <v>"1001.X710.X"</v>
      </c>
      <c r="AH117" s="14">
        <f t="shared" ca="1" si="29"/>
        <v>42277</v>
      </c>
      <c r="AI117" s="6" t="s">
        <v>45</v>
      </c>
      <c r="AJ117" t="str">
        <f t="shared" ca="1" si="22"/>
        <v>""</v>
      </c>
      <c r="AK117" t="str">
        <f t="shared" ca="1" si="22"/>
        <v>""</v>
      </c>
      <c r="AL117" t="str">
        <f t="shared" ca="1" si="22"/>
        <v>"P20"</v>
      </c>
      <c r="AM117" t="s">
        <v>66</v>
      </c>
      <c r="AN117" t="s">
        <v>66</v>
      </c>
      <c r="AO117" s="7" t="s">
        <v>50</v>
      </c>
      <c r="AP117" s="12" t="s">
        <v>58</v>
      </c>
    </row>
    <row r="118" spans="1:42" x14ac:dyDescent="0.3">
      <c r="A118" s="7" t="s">
        <v>63</v>
      </c>
      <c r="B118" s="7" t="s">
        <v>64</v>
      </c>
      <c r="C118" s="7" t="s">
        <v>50</v>
      </c>
      <c r="D118" t="str">
        <f t="shared" ca="1" si="18"/>
        <v>""</v>
      </c>
      <c r="E118" s="14">
        <f t="shared" ca="1" si="23"/>
        <v>0</v>
      </c>
      <c r="F118" s="6">
        <f t="shared" ca="1" si="24"/>
        <v>0</v>
      </c>
      <c r="G118" t="s">
        <v>65</v>
      </c>
      <c r="H118" t="str">
        <f t="shared" ca="1" si="19"/>
        <v>""</v>
      </c>
      <c r="I118" s="9">
        <f t="shared" ca="1" si="25"/>
        <v>0</v>
      </c>
      <c r="J118" s="14">
        <f t="shared" ca="1" si="26"/>
        <v>0</v>
      </c>
      <c r="K118" s="14">
        <f t="shared" ca="1" si="26"/>
        <v>0</v>
      </c>
      <c r="L118" s="9">
        <v>0</v>
      </c>
      <c r="M118" t="str">
        <f ca="1">Quotes&amp;Format!N122&amp;UPPER(INDIRECT(M$1,TRUE))&amp;Quotes</f>
        <v>""</v>
      </c>
      <c r="N118" t="str">
        <f t="shared" ca="1" si="20"/>
        <v>","</v>
      </c>
      <c r="O118" t="s">
        <v>66</v>
      </c>
      <c r="P118" t="str">
        <f t="shared" ca="1" si="30"/>
        <v>""</v>
      </c>
      <c r="Q118" t="str">
        <f t="shared" ca="1" si="30"/>
        <v>""</v>
      </c>
      <c r="R118" t="str">
        <f t="shared" ca="1" si="30"/>
        <v>""</v>
      </c>
      <c r="S118" t="str">
        <f t="shared" ca="1" si="30"/>
        <v>""</v>
      </c>
      <c r="T118" t="s">
        <v>66</v>
      </c>
      <c r="U118" s="11" t="s">
        <v>50</v>
      </c>
      <c r="V118" s="7" t="s">
        <v>67</v>
      </c>
      <c r="W118" s="11" t="s">
        <v>50</v>
      </c>
      <c r="X118" t="str">
        <f t="shared" ca="1" si="21"/>
        <v>"P20"</v>
      </c>
      <c r="Y118" s="9">
        <f t="shared" ca="1" si="27"/>
        <v>0</v>
      </c>
      <c r="Z118" s="9">
        <f t="shared" ca="1" si="27"/>
        <v>0</v>
      </c>
      <c r="AA118" s="6" t="s">
        <v>45</v>
      </c>
      <c r="AB118" s="13" t="s">
        <v>50</v>
      </c>
      <c r="AC118" s="7" t="s">
        <v>68</v>
      </c>
      <c r="AD118" s="13" t="s">
        <v>50</v>
      </c>
      <c r="AE118" s="6">
        <f t="shared" ca="1" si="28"/>
        <v>0</v>
      </c>
      <c r="AF118" t="str">
        <f t="shared" ca="1" si="32"/>
        <v>"1"</v>
      </c>
      <c r="AG118" t="str">
        <f t="shared" ca="1" si="32"/>
        <v>"1001.X710.X"</v>
      </c>
      <c r="AH118" s="14">
        <f t="shared" ca="1" si="29"/>
        <v>42277</v>
      </c>
      <c r="AI118" s="6" t="s">
        <v>45</v>
      </c>
      <c r="AJ118" t="str">
        <f t="shared" ca="1" si="22"/>
        <v>""</v>
      </c>
      <c r="AK118" t="str">
        <f t="shared" ca="1" si="22"/>
        <v>""</v>
      </c>
      <c r="AL118" t="str">
        <f t="shared" ca="1" si="22"/>
        <v>"P20"</v>
      </c>
      <c r="AM118" t="s">
        <v>66</v>
      </c>
      <c r="AN118" t="s">
        <v>66</v>
      </c>
      <c r="AO118" s="7" t="s">
        <v>50</v>
      </c>
      <c r="AP118" s="12" t="s">
        <v>58</v>
      </c>
    </row>
    <row r="119" spans="1:42" x14ac:dyDescent="0.3">
      <c r="A119" s="7" t="s">
        <v>63</v>
      </c>
      <c r="B119" s="7" t="s">
        <v>64</v>
      </c>
      <c r="C119" s="7" t="s">
        <v>50</v>
      </c>
      <c r="D119" t="str">
        <f t="shared" ca="1" si="18"/>
        <v>""</v>
      </c>
      <c r="E119" s="14">
        <f t="shared" ca="1" si="23"/>
        <v>0</v>
      </c>
      <c r="F119" s="6">
        <f t="shared" ca="1" si="24"/>
        <v>0</v>
      </c>
      <c r="G119" t="s">
        <v>65</v>
      </c>
      <c r="H119" t="str">
        <f t="shared" ca="1" si="19"/>
        <v>""</v>
      </c>
      <c r="I119" s="9">
        <f t="shared" ca="1" si="25"/>
        <v>0</v>
      </c>
      <c r="J119" s="14">
        <f t="shared" ca="1" si="26"/>
        <v>0</v>
      </c>
      <c r="K119" s="14">
        <f t="shared" ca="1" si="26"/>
        <v>0</v>
      </c>
      <c r="L119" s="9">
        <v>0</v>
      </c>
      <c r="M119" t="str">
        <f ca="1">Quotes&amp;Format!N123&amp;UPPER(INDIRECT(M$1,TRUE))&amp;Quotes</f>
        <v>""</v>
      </c>
      <c r="N119" t="str">
        <f t="shared" ca="1" si="20"/>
        <v>","</v>
      </c>
      <c r="O119" t="s">
        <v>66</v>
      </c>
      <c r="P119" t="str">
        <f t="shared" ca="1" si="30"/>
        <v>""</v>
      </c>
      <c r="Q119" t="str">
        <f t="shared" ca="1" si="30"/>
        <v>""</v>
      </c>
      <c r="R119" t="str">
        <f t="shared" ca="1" si="30"/>
        <v>""</v>
      </c>
      <c r="S119" t="str">
        <f t="shared" ca="1" si="30"/>
        <v>""</v>
      </c>
      <c r="T119" t="s">
        <v>66</v>
      </c>
      <c r="U119" s="11" t="s">
        <v>50</v>
      </c>
      <c r="V119" s="7" t="s">
        <v>67</v>
      </c>
      <c r="W119" s="11" t="s">
        <v>50</v>
      </c>
      <c r="X119" t="str">
        <f t="shared" ca="1" si="21"/>
        <v>"P20"</v>
      </c>
      <c r="Y119" s="9">
        <f t="shared" ca="1" si="27"/>
        <v>0</v>
      </c>
      <c r="Z119" s="9">
        <f t="shared" ca="1" si="27"/>
        <v>0</v>
      </c>
      <c r="AA119" s="6" t="s">
        <v>45</v>
      </c>
      <c r="AB119" s="13" t="s">
        <v>50</v>
      </c>
      <c r="AC119" s="7" t="s">
        <v>68</v>
      </c>
      <c r="AD119" s="13" t="s">
        <v>50</v>
      </c>
      <c r="AE119" s="6">
        <f t="shared" ca="1" si="28"/>
        <v>0</v>
      </c>
      <c r="AF119" t="str">
        <f t="shared" ca="1" si="32"/>
        <v>"1"</v>
      </c>
      <c r="AG119" t="str">
        <f t="shared" ca="1" si="32"/>
        <v>"1001.X710.X"</v>
      </c>
      <c r="AH119" s="14">
        <f t="shared" ca="1" si="29"/>
        <v>42277</v>
      </c>
      <c r="AI119" s="6" t="s">
        <v>45</v>
      </c>
      <c r="AJ119" t="str">
        <f t="shared" ca="1" si="22"/>
        <v>""</v>
      </c>
      <c r="AK119" t="str">
        <f t="shared" ca="1" si="22"/>
        <v>""</v>
      </c>
      <c r="AL119" t="str">
        <f t="shared" ca="1" si="22"/>
        <v>"P20"</v>
      </c>
      <c r="AM119" t="s">
        <v>66</v>
      </c>
      <c r="AN119" t="s">
        <v>66</v>
      </c>
      <c r="AO119" s="7" t="s">
        <v>50</v>
      </c>
      <c r="AP119" s="12" t="s">
        <v>58</v>
      </c>
    </row>
    <row r="120" spans="1:42" x14ac:dyDescent="0.3">
      <c r="A120" s="7" t="s">
        <v>63</v>
      </c>
      <c r="B120" s="7" t="s">
        <v>64</v>
      </c>
      <c r="C120" s="7" t="s">
        <v>50</v>
      </c>
      <c r="D120" t="str">
        <f t="shared" ca="1" si="18"/>
        <v>""</v>
      </c>
      <c r="E120" s="14">
        <f t="shared" ca="1" si="23"/>
        <v>0</v>
      </c>
      <c r="F120" s="6">
        <f t="shared" ca="1" si="24"/>
        <v>0</v>
      </c>
      <c r="G120" t="s">
        <v>65</v>
      </c>
      <c r="H120" t="str">
        <f t="shared" ca="1" si="19"/>
        <v>""</v>
      </c>
      <c r="I120" s="9">
        <f t="shared" ca="1" si="25"/>
        <v>0</v>
      </c>
      <c r="J120" s="14">
        <f t="shared" ca="1" si="26"/>
        <v>0</v>
      </c>
      <c r="K120" s="14">
        <f t="shared" ca="1" si="26"/>
        <v>0</v>
      </c>
      <c r="L120" s="9">
        <v>0</v>
      </c>
      <c r="M120" t="str">
        <f ca="1">Quotes&amp;Format!N124&amp;UPPER(INDIRECT(M$1,TRUE))&amp;Quotes</f>
        <v>""</v>
      </c>
      <c r="N120" t="str">
        <f t="shared" ca="1" si="20"/>
        <v>","</v>
      </c>
      <c r="O120" t="s">
        <v>66</v>
      </c>
      <c r="P120" t="str">
        <f t="shared" ca="1" si="30"/>
        <v>""</v>
      </c>
      <c r="Q120" t="str">
        <f t="shared" ca="1" si="30"/>
        <v>""</v>
      </c>
      <c r="R120" t="str">
        <f t="shared" ca="1" si="30"/>
        <v>""</v>
      </c>
      <c r="S120" t="str">
        <f t="shared" ca="1" si="30"/>
        <v>""</v>
      </c>
      <c r="T120" t="s">
        <v>66</v>
      </c>
      <c r="U120" s="11" t="s">
        <v>50</v>
      </c>
      <c r="V120" s="7" t="s">
        <v>67</v>
      </c>
      <c r="W120" s="11" t="s">
        <v>50</v>
      </c>
      <c r="X120" t="str">
        <f t="shared" ca="1" si="21"/>
        <v>"P20"</v>
      </c>
      <c r="Y120" s="9">
        <f t="shared" ca="1" si="27"/>
        <v>0</v>
      </c>
      <c r="Z120" s="9">
        <f t="shared" ca="1" si="27"/>
        <v>0</v>
      </c>
      <c r="AA120" s="6" t="s">
        <v>45</v>
      </c>
      <c r="AB120" s="13" t="s">
        <v>50</v>
      </c>
      <c r="AC120" s="7" t="s">
        <v>68</v>
      </c>
      <c r="AD120" s="13" t="s">
        <v>50</v>
      </c>
      <c r="AE120" s="6">
        <f t="shared" ca="1" si="28"/>
        <v>0</v>
      </c>
      <c r="AF120" t="str">
        <f t="shared" ca="1" si="32"/>
        <v>"1"</v>
      </c>
      <c r="AG120" t="str">
        <f t="shared" ca="1" si="32"/>
        <v>"1001.X710.X"</v>
      </c>
      <c r="AH120" s="14">
        <f t="shared" ca="1" si="29"/>
        <v>42277</v>
      </c>
      <c r="AI120" s="6" t="s">
        <v>45</v>
      </c>
      <c r="AJ120" t="str">
        <f t="shared" ca="1" si="22"/>
        <v>""</v>
      </c>
      <c r="AK120" t="str">
        <f t="shared" ca="1" si="22"/>
        <v>""</v>
      </c>
      <c r="AL120" t="str">
        <f t="shared" ca="1" si="22"/>
        <v>"P20"</v>
      </c>
      <c r="AM120" t="s">
        <v>66</v>
      </c>
      <c r="AN120" t="s">
        <v>66</v>
      </c>
      <c r="AO120" s="7" t="s">
        <v>50</v>
      </c>
      <c r="AP120" s="12" t="s">
        <v>58</v>
      </c>
    </row>
    <row r="121" spans="1:42" x14ac:dyDescent="0.3">
      <c r="A121" s="7" t="s">
        <v>63</v>
      </c>
      <c r="B121" s="7" t="s">
        <v>64</v>
      </c>
      <c r="C121" s="7" t="s">
        <v>50</v>
      </c>
      <c r="D121" t="str">
        <f t="shared" ca="1" si="18"/>
        <v>""</v>
      </c>
      <c r="E121" s="14">
        <f t="shared" ca="1" si="23"/>
        <v>0</v>
      </c>
      <c r="F121" s="6">
        <f t="shared" ca="1" si="24"/>
        <v>0</v>
      </c>
      <c r="G121" t="s">
        <v>65</v>
      </c>
      <c r="H121" t="str">
        <f t="shared" ca="1" si="19"/>
        <v>""</v>
      </c>
      <c r="I121" s="9">
        <f t="shared" ca="1" si="25"/>
        <v>0</v>
      </c>
      <c r="J121" s="14">
        <f t="shared" ca="1" si="26"/>
        <v>0</v>
      </c>
      <c r="K121" s="14">
        <f t="shared" ca="1" si="26"/>
        <v>0</v>
      </c>
      <c r="L121" s="9">
        <v>0</v>
      </c>
      <c r="M121" t="str">
        <f ca="1">Quotes&amp;Format!N125&amp;UPPER(INDIRECT(M$1,TRUE))&amp;Quotes</f>
        <v>""</v>
      </c>
      <c r="N121" t="str">
        <f t="shared" ca="1" si="20"/>
        <v>","</v>
      </c>
      <c r="O121" t="s">
        <v>66</v>
      </c>
      <c r="P121" t="str">
        <f t="shared" ca="1" si="30"/>
        <v>""</v>
      </c>
      <c r="Q121" t="str">
        <f t="shared" ca="1" si="30"/>
        <v>""</v>
      </c>
      <c r="R121" t="str">
        <f t="shared" ca="1" si="30"/>
        <v>""</v>
      </c>
      <c r="S121" t="str">
        <f t="shared" ca="1" si="30"/>
        <v>""</v>
      </c>
      <c r="T121" t="s">
        <v>66</v>
      </c>
      <c r="U121" s="11" t="s">
        <v>50</v>
      </c>
      <c r="V121" s="7" t="s">
        <v>67</v>
      </c>
      <c r="W121" s="11" t="s">
        <v>50</v>
      </c>
      <c r="X121" t="str">
        <f t="shared" ca="1" si="21"/>
        <v>"P20"</v>
      </c>
      <c r="Y121" s="9">
        <f t="shared" ca="1" si="27"/>
        <v>0</v>
      </c>
      <c r="Z121" s="9">
        <f t="shared" ca="1" si="27"/>
        <v>0</v>
      </c>
      <c r="AA121" s="6" t="s">
        <v>45</v>
      </c>
      <c r="AB121" s="13" t="s">
        <v>50</v>
      </c>
      <c r="AC121" s="7" t="s">
        <v>68</v>
      </c>
      <c r="AD121" s="13" t="s">
        <v>50</v>
      </c>
      <c r="AE121" s="6">
        <f t="shared" ca="1" si="28"/>
        <v>0</v>
      </c>
      <c r="AF121" t="str">
        <f t="shared" ca="1" si="32"/>
        <v>"1"</v>
      </c>
      <c r="AG121" t="str">
        <f t="shared" ca="1" si="32"/>
        <v>"1001.X710.X"</v>
      </c>
      <c r="AH121" s="14">
        <f t="shared" ca="1" si="29"/>
        <v>42277</v>
      </c>
      <c r="AI121" s="6" t="s">
        <v>45</v>
      </c>
      <c r="AJ121" t="str">
        <f t="shared" ca="1" si="22"/>
        <v>""</v>
      </c>
      <c r="AK121" t="str">
        <f t="shared" ca="1" si="22"/>
        <v>""</v>
      </c>
      <c r="AL121" t="str">
        <f t="shared" ca="1" si="22"/>
        <v>"P20"</v>
      </c>
      <c r="AM121" t="s">
        <v>66</v>
      </c>
      <c r="AN121" t="s">
        <v>66</v>
      </c>
      <c r="AO121" s="7" t="s">
        <v>50</v>
      </c>
      <c r="AP121" s="12" t="s">
        <v>58</v>
      </c>
    </row>
    <row r="122" spans="1:42" x14ac:dyDescent="0.3">
      <c r="A122" s="7" t="s">
        <v>63</v>
      </c>
      <c r="B122" s="7" t="s">
        <v>64</v>
      </c>
      <c r="C122" s="7" t="s">
        <v>50</v>
      </c>
      <c r="D122" t="str">
        <f t="shared" ca="1" si="18"/>
        <v>""</v>
      </c>
      <c r="E122" s="14">
        <f t="shared" ca="1" si="23"/>
        <v>0</v>
      </c>
      <c r="F122" s="6">
        <f t="shared" ca="1" si="24"/>
        <v>0</v>
      </c>
      <c r="G122" t="s">
        <v>65</v>
      </c>
      <c r="H122" t="str">
        <f t="shared" ca="1" si="19"/>
        <v>""</v>
      </c>
      <c r="I122" s="9">
        <f t="shared" ca="1" si="25"/>
        <v>0</v>
      </c>
      <c r="J122" s="14">
        <f t="shared" ca="1" si="26"/>
        <v>0</v>
      </c>
      <c r="K122" s="14">
        <f t="shared" ca="1" si="26"/>
        <v>0</v>
      </c>
      <c r="L122" s="9">
        <v>0</v>
      </c>
      <c r="M122" t="str">
        <f ca="1">Quotes&amp;Format!N126&amp;UPPER(INDIRECT(M$1,TRUE))&amp;Quotes</f>
        <v>""</v>
      </c>
      <c r="N122" t="str">
        <f t="shared" ca="1" si="20"/>
        <v>","</v>
      </c>
      <c r="O122" t="s">
        <v>66</v>
      </c>
      <c r="P122" t="str">
        <f t="shared" ca="1" si="30"/>
        <v>""</v>
      </c>
      <c r="Q122" t="str">
        <f t="shared" ca="1" si="30"/>
        <v>""</v>
      </c>
      <c r="R122" t="str">
        <f t="shared" ca="1" si="30"/>
        <v>""</v>
      </c>
      <c r="S122" t="str">
        <f t="shared" ca="1" si="30"/>
        <v>""</v>
      </c>
      <c r="T122" t="s">
        <v>66</v>
      </c>
      <c r="U122" s="11" t="s">
        <v>50</v>
      </c>
      <c r="V122" s="7" t="s">
        <v>67</v>
      </c>
      <c r="W122" s="11" t="s">
        <v>50</v>
      </c>
      <c r="X122" t="str">
        <f t="shared" ca="1" si="21"/>
        <v>"P20"</v>
      </c>
      <c r="Y122" s="9">
        <f t="shared" ca="1" si="27"/>
        <v>0</v>
      </c>
      <c r="Z122" s="9">
        <f t="shared" ca="1" si="27"/>
        <v>0</v>
      </c>
      <c r="AA122" s="6" t="s">
        <v>45</v>
      </c>
      <c r="AB122" s="13" t="s">
        <v>50</v>
      </c>
      <c r="AC122" s="7" t="s">
        <v>68</v>
      </c>
      <c r="AD122" s="13" t="s">
        <v>50</v>
      </c>
      <c r="AE122" s="6">
        <f t="shared" ca="1" si="28"/>
        <v>0</v>
      </c>
      <c r="AF122" t="str">
        <f t="shared" ca="1" si="32"/>
        <v>"1"</v>
      </c>
      <c r="AG122" t="str">
        <f t="shared" ca="1" si="32"/>
        <v>"1001.X710.X"</v>
      </c>
      <c r="AH122" s="14">
        <f t="shared" ca="1" si="29"/>
        <v>42277</v>
      </c>
      <c r="AI122" s="6" t="s">
        <v>45</v>
      </c>
      <c r="AJ122" t="str">
        <f t="shared" ca="1" si="22"/>
        <v>""</v>
      </c>
      <c r="AK122" t="str">
        <f t="shared" ca="1" si="22"/>
        <v>""</v>
      </c>
      <c r="AL122" t="str">
        <f t="shared" ca="1" si="22"/>
        <v>"P20"</v>
      </c>
      <c r="AM122" t="s">
        <v>66</v>
      </c>
      <c r="AN122" t="s">
        <v>66</v>
      </c>
      <c r="AO122" s="7" t="s">
        <v>50</v>
      </c>
      <c r="AP122" s="12" t="s">
        <v>58</v>
      </c>
    </row>
    <row r="123" spans="1:42" x14ac:dyDescent="0.3">
      <c r="A123" s="7" t="s">
        <v>63</v>
      </c>
      <c r="B123" s="7" t="s">
        <v>64</v>
      </c>
      <c r="C123" s="7" t="s">
        <v>50</v>
      </c>
      <c r="D123" t="str">
        <f t="shared" ca="1" si="18"/>
        <v>""</v>
      </c>
      <c r="E123" s="14">
        <f t="shared" ca="1" si="23"/>
        <v>0</v>
      </c>
      <c r="F123" s="6">
        <f t="shared" ca="1" si="24"/>
        <v>0</v>
      </c>
      <c r="G123" t="s">
        <v>65</v>
      </c>
      <c r="H123" t="str">
        <f t="shared" ca="1" si="19"/>
        <v>""</v>
      </c>
      <c r="I123" s="9">
        <f t="shared" ca="1" si="25"/>
        <v>0</v>
      </c>
      <c r="J123" s="14">
        <f t="shared" ca="1" si="26"/>
        <v>0</v>
      </c>
      <c r="K123" s="14">
        <f t="shared" ca="1" si="26"/>
        <v>0</v>
      </c>
      <c r="L123" s="9">
        <v>0</v>
      </c>
      <c r="M123" t="str">
        <f ca="1">Quotes&amp;Format!N127&amp;UPPER(INDIRECT(M$1,TRUE))&amp;Quotes</f>
        <v>""</v>
      </c>
      <c r="N123" t="str">
        <f t="shared" ca="1" si="20"/>
        <v>","</v>
      </c>
      <c r="O123" t="s">
        <v>66</v>
      </c>
      <c r="P123" t="str">
        <f t="shared" ca="1" si="30"/>
        <v>""</v>
      </c>
      <c r="Q123" t="str">
        <f t="shared" ca="1" si="30"/>
        <v>""</v>
      </c>
      <c r="R123" t="str">
        <f t="shared" ca="1" si="30"/>
        <v>""</v>
      </c>
      <c r="S123" t="str">
        <f t="shared" ca="1" si="30"/>
        <v>""</v>
      </c>
      <c r="T123" t="s">
        <v>66</v>
      </c>
      <c r="U123" s="11" t="s">
        <v>50</v>
      </c>
      <c r="V123" s="7" t="s">
        <v>67</v>
      </c>
      <c r="W123" s="11" t="s">
        <v>50</v>
      </c>
      <c r="X123" t="str">
        <f t="shared" ca="1" si="21"/>
        <v>"P20"</v>
      </c>
      <c r="Y123" s="9">
        <f t="shared" ca="1" si="27"/>
        <v>0</v>
      </c>
      <c r="Z123" s="9">
        <f t="shared" ca="1" si="27"/>
        <v>0</v>
      </c>
      <c r="AA123" s="6" t="s">
        <v>45</v>
      </c>
      <c r="AB123" s="13" t="s">
        <v>50</v>
      </c>
      <c r="AC123" s="7" t="s">
        <v>68</v>
      </c>
      <c r="AD123" s="13" t="s">
        <v>50</v>
      </c>
      <c r="AE123" s="6">
        <f t="shared" ca="1" si="28"/>
        <v>0</v>
      </c>
      <c r="AF123" t="str">
        <f t="shared" ca="1" si="32"/>
        <v>"1"</v>
      </c>
      <c r="AG123" t="str">
        <f t="shared" ca="1" si="32"/>
        <v>"1001.X710.X"</v>
      </c>
      <c r="AH123" s="14">
        <f t="shared" ca="1" si="29"/>
        <v>42277</v>
      </c>
      <c r="AI123" s="6" t="s">
        <v>45</v>
      </c>
      <c r="AJ123" t="str">
        <f t="shared" ca="1" si="22"/>
        <v>""</v>
      </c>
      <c r="AK123" t="str">
        <f t="shared" ca="1" si="22"/>
        <v>""</v>
      </c>
      <c r="AL123" t="str">
        <f t="shared" ca="1" si="22"/>
        <v>"P20"</v>
      </c>
      <c r="AM123" t="s">
        <v>66</v>
      </c>
      <c r="AN123" t="s">
        <v>66</v>
      </c>
      <c r="AO123" s="7" t="s">
        <v>50</v>
      </c>
      <c r="AP123" s="12" t="s">
        <v>58</v>
      </c>
    </row>
    <row r="124" spans="1:42" x14ac:dyDescent="0.3">
      <c r="A124" s="7" t="s">
        <v>63</v>
      </c>
      <c r="B124" s="7" t="s">
        <v>64</v>
      </c>
      <c r="C124" s="7" t="s">
        <v>50</v>
      </c>
      <c r="D124" t="str">
        <f t="shared" ca="1" si="18"/>
        <v>""</v>
      </c>
      <c r="E124" s="14">
        <f t="shared" ca="1" si="23"/>
        <v>0</v>
      </c>
      <c r="F124" s="6">
        <f t="shared" ca="1" si="24"/>
        <v>0</v>
      </c>
      <c r="G124" t="s">
        <v>65</v>
      </c>
      <c r="H124" t="str">
        <f t="shared" ca="1" si="19"/>
        <v>""</v>
      </c>
      <c r="I124" s="9">
        <f t="shared" ca="1" si="25"/>
        <v>0</v>
      </c>
      <c r="J124" s="14">
        <f t="shared" ca="1" si="26"/>
        <v>0</v>
      </c>
      <c r="K124" s="14">
        <f t="shared" ca="1" si="26"/>
        <v>0</v>
      </c>
      <c r="L124" s="9">
        <v>0</v>
      </c>
      <c r="M124" t="str">
        <f ca="1">Quotes&amp;Format!N128&amp;UPPER(INDIRECT(M$1,TRUE))&amp;Quotes</f>
        <v>""</v>
      </c>
      <c r="N124" t="str">
        <f t="shared" ca="1" si="20"/>
        <v>","</v>
      </c>
      <c r="O124" t="s">
        <v>66</v>
      </c>
      <c r="P124" t="str">
        <f t="shared" ca="1" si="30"/>
        <v>""</v>
      </c>
      <c r="Q124" t="str">
        <f t="shared" ca="1" si="30"/>
        <v>""</v>
      </c>
      <c r="R124" t="str">
        <f t="shared" ca="1" si="30"/>
        <v>""</v>
      </c>
      <c r="S124" t="str">
        <f t="shared" ca="1" si="30"/>
        <v>""</v>
      </c>
      <c r="T124" t="s">
        <v>66</v>
      </c>
      <c r="U124" s="11" t="s">
        <v>50</v>
      </c>
      <c r="V124" s="7" t="s">
        <v>67</v>
      </c>
      <c r="W124" s="11" t="s">
        <v>50</v>
      </c>
      <c r="X124" t="str">
        <f t="shared" ca="1" si="21"/>
        <v>"P20"</v>
      </c>
      <c r="Y124" s="9">
        <f t="shared" ca="1" si="27"/>
        <v>0</v>
      </c>
      <c r="Z124" s="9">
        <f t="shared" ca="1" si="27"/>
        <v>0</v>
      </c>
      <c r="AA124" s="6" t="s">
        <v>45</v>
      </c>
      <c r="AB124" s="13" t="s">
        <v>50</v>
      </c>
      <c r="AC124" s="7" t="s">
        <v>68</v>
      </c>
      <c r="AD124" s="13" t="s">
        <v>50</v>
      </c>
      <c r="AE124" s="6">
        <f t="shared" ca="1" si="28"/>
        <v>0</v>
      </c>
      <c r="AF124" t="str">
        <f t="shared" ref="AF124:AG125" ca="1" si="33">Quotes&amp;IF(INDIRECT(AF$1,TRUE)="","""",UPPER(INDIRECT(AF$1,TRUE))&amp;Quotes)</f>
        <v>"1"</v>
      </c>
      <c r="AG124" t="str">
        <f t="shared" ca="1" si="33"/>
        <v>"1001.X710.X"</v>
      </c>
      <c r="AH124" s="14">
        <f t="shared" ca="1" si="29"/>
        <v>42277</v>
      </c>
      <c r="AI124" s="6" t="s">
        <v>45</v>
      </c>
      <c r="AJ124" t="str">
        <f t="shared" ca="1" si="22"/>
        <v>""</v>
      </c>
      <c r="AK124" t="str">
        <f t="shared" ca="1" si="22"/>
        <v>""</v>
      </c>
      <c r="AL124" t="str">
        <f t="shared" ca="1" si="22"/>
        <v>"P20"</v>
      </c>
      <c r="AM124" t="s">
        <v>66</v>
      </c>
      <c r="AN124" t="s">
        <v>66</v>
      </c>
      <c r="AO124" s="7" t="s">
        <v>50</v>
      </c>
      <c r="AP124" s="12" t="s">
        <v>58</v>
      </c>
    </row>
    <row r="125" spans="1:42" x14ac:dyDescent="0.3">
      <c r="A125" s="7" t="s">
        <v>63</v>
      </c>
      <c r="B125" s="7" t="s">
        <v>64</v>
      </c>
      <c r="C125" s="7" t="s">
        <v>50</v>
      </c>
      <c r="D125" t="str">
        <f t="shared" ca="1" si="18"/>
        <v>""</v>
      </c>
      <c r="E125" s="14">
        <f t="shared" ca="1" si="23"/>
        <v>0</v>
      </c>
      <c r="F125" s="6">
        <f t="shared" ca="1" si="24"/>
        <v>0</v>
      </c>
      <c r="G125" t="s">
        <v>65</v>
      </c>
      <c r="H125" t="str">
        <f t="shared" ca="1" si="19"/>
        <v>""</v>
      </c>
      <c r="I125" s="9">
        <f t="shared" ca="1" si="25"/>
        <v>0</v>
      </c>
      <c r="J125" s="14">
        <f t="shared" ca="1" si="26"/>
        <v>0</v>
      </c>
      <c r="K125" s="14">
        <f t="shared" ca="1" si="26"/>
        <v>0</v>
      </c>
      <c r="L125" s="9">
        <v>0</v>
      </c>
      <c r="M125" t="str">
        <f ca="1">Quotes&amp;Format!N129&amp;UPPER(INDIRECT(M$1,TRUE))&amp;Quotes</f>
        <v>""</v>
      </c>
      <c r="N125" t="str">
        <f t="shared" ca="1" si="20"/>
        <v>","</v>
      </c>
      <c r="O125" t="s">
        <v>66</v>
      </c>
      <c r="P125" t="str">
        <f t="shared" ca="1" si="30"/>
        <v>""</v>
      </c>
      <c r="Q125" t="str">
        <f t="shared" ca="1" si="30"/>
        <v>""</v>
      </c>
      <c r="R125" t="str">
        <f t="shared" ca="1" si="30"/>
        <v>""</v>
      </c>
      <c r="S125" t="str">
        <f t="shared" ca="1" si="30"/>
        <v>""</v>
      </c>
      <c r="T125" t="s">
        <v>66</v>
      </c>
      <c r="U125" s="11" t="s">
        <v>50</v>
      </c>
      <c r="V125" s="7" t="s">
        <v>67</v>
      </c>
      <c r="W125" s="11" t="s">
        <v>50</v>
      </c>
      <c r="X125" t="str">
        <f t="shared" ca="1" si="21"/>
        <v>"P20"</v>
      </c>
      <c r="Y125" s="9">
        <f t="shared" ca="1" si="27"/>
        <v>0</v>
      </c>
      <c r="Z125" s="9">
        <f t="shared" ca="1" si="27"/>
        <v>0</v>
      </c>
      <c r="AA125" s="6" t="s">
        <v>45</v>
      </c>
      <c r="AB125" s="13" t="s">
        <v>50</v>
      </c>
      <c r="AC125" s="7" t="s">
        <v>68</v>
      </c>
      <c r="AD125" s="13" t="s">
        <v>50</v>
      </c>
      <c r="AE125" s="6">
        <f t="shared" ca="1" si="28"/>
        <v>0</v>
      </c>
      <c r="AF125" t="str">
        <f t="shared" ca="1" si="33"/>
        <v>"1"</v>
      </c>
      <c r="AG125" t="str">
        <f t="shared" ca="1" si="33"/>
        <v>"1001.X710.X"</v>
      </c>
      <c r="AH125" s="14">
        <f t="shared" ca="1" si="29"/>
        <v>42277</v>
      </c>
      <c r="AI125" s="6" t="s">
        <v>45</v>
      </c>
      <c r="AJ125" t="str">
        <f t="shared" ca="1" si="22"/>
        <v>""</v>
      </c>
      <c r="AK125" t="str">
        <f t="shared" ca="1" si="22"/>
        <v>""</v>
      </c>
      <c r="AL125" t="str">
        <f t="shared" ca="1" si="22"/>
        <v>"P20"</v>
      </c>
      <c r="AM125" t="s">
        <v>66</v>
      </c>
      <c r="AN125" t="s">
        <v>66</v>
      </c>
      <c r="AO125" s="7" t="s">
        <v>50</v>
      </c>
      <c r="AP125" s="12" t="s">
        <v>58</v>
      </c>
    </row>
  </sheetData>
  <sheetProtection insertRows="0" deleteRows="0" selectLockedCells="1"/>
  <pageMargins left="0.7" right="0.7" top="0.75" bottom="0.75" header="0.3" footer="0.3"/>
  <pageSetup paperSize="9" orientation="portrait" horizontalDpi="300" verticalDpi="300" r:id="rId1"/>
  <ignoredErrors>
    <ignoredError sqref="AF2" numberStoredAsText="1"/>
    <ignoredError sqref="AL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autoFill="0" autoPict="0" macro="[0]!RangeFromStart">
                <anchor moveWithCells="1">
                  <from>
                    <xdr:col>0</xdr:col>
                    <xdr:colOff>152400</xdr:colOff>
                    <xdr:row>1</xdr:row>
                    <xdr:rowOff>76200</xdr:rowOff>
                  </from>
                  <to>
                    <xdr:col>2</xdr:col>
                    <xdr:colOff>99060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44"/>
  <sheetViews>
    <sheetView zoomScale="60" zoomScaleNormal="60" workbookViewId="0">
      <selection activeCell="H2" sqref="H2"/>
    </sheetView>
  </sheetViews>
  <sheetFormatPr defaultColWidth="11" defaultRowHeight="15.6" x14ac:dyDescent="0.3"/>
  <cols>
    <col min="1" max="1" width="14" bestFit="1" customWidth="1"/>
    <col min="2" max="2" width="14.296875" bestFit="1" customWidth="1"/>
    <col min="3" max="3" width="12" bestFit="1" customWidth="1"/>
    <col min="6" max="6" width="61.69921875" customWidth="1"/>
    <col min="7" max="7" width="14" bestFit="1" customWidth="1"/>
    <col min="8" max="8" width="28.19921875" bestFit="1" customWidth="1"/>
  </cols>
  <sheetData>
    <row r="1" spans="1:14" x14ac:dyDescent="0.3">
      <c r="G1" t="s">
        <v>90</v>
      </c>
    </row>
    <row r="2" spans="1:14" x14ac:dyDescent="0.3">
      <c r="A2" s="4" t="s">
        <v>0</v>
      </c>
      <c r="B2" s="15" t="s">
        <v>21</v>
      </c>
      <c r="C2" s="1" t="s">
        <v>40</v>
      </c>
      <c r="F2" t="s">
        <v>21</v>
      </c>
      <c r="G2" t="s">
        <v>4</v>
      </c>
      <c r="H2" s="21"/>
      <c r="M2" s="1"/>
      <c r="N2" s="1"/>
    </row>
    <row r="3" spans="1:14" x14ac:dyDescent="0.3">
      <c r="A3" s="8" t="s">
        <v>5</v>
      </c>
      <c r="B3" s="15" t="s">
        <v>22</v>
      </c>
      <c r="C3" s="1" t="s">
        <v>41</v>
      </c>
      <c r="F3" t="s">
        <v>69</v>
      </c>
      <c r="G3" s="8" t="s">
        <v>5</v>
      </c>
      <c r="M3" s="15"/>
      <c r="N3" s="15"/>
    </row>
    <row r="4" spans="1:14" x14ac:dyDescent="0.3">
      <c r="A4" s="1" t="s">
        <v>6</v>
      </c>
      <c r="B4" s="15" t="s">
        <v>23</v>
      </c>
      <c r="C4" s="1" t="s">
        <v>42</v>
      </c>
      <c r="F4" t="s">
        <v>70</v>
      </c>
      <c r="G4" s="1" t="s">
        <v>6</v>
      </c>
      <c r="M4" s="1"/>
      <c r="N4" s="3"/>
    </row>
    <row r="5" spans="1:14" x14ac:dyDescent="0.3">
      <c r="A5" s="1" t="s">
        <v>51</v>
      </c>
      <c r="B5" s="15"/>
      <c r="C5" s="1" t="s">
        <v>40</v>
      </c>
      <c r="F5" t="s">
        <v>71</v>
      </c>
      <c r="G5" s="1" t="s">
        <v>51</v>
      </c>
    </row>
    <row r="6" spans="1:14" x14ac:dyDescent="0.3">
      <c r="A6" s="1" t="s">
        <v>7</v>
      </c>
      <c r="B6" s="15" t="s">
        <v>24</v>
      </c>
      <c r="C6" s="1" t="s">
        <v>40</v>
      </c>
      <c r="F6" t="s">
        <v>72</v>
      </c>
      <c r="G6" s="1" t="s">
        <v>7</v>
      </c>
    </row>
    <row r="7" spans="1:14" x14ac:dyDescent="0.3">
      <c r="A7" s="9" t="s">
        <v>8</v>
      </c>
      <c r="B7" s="16" t="s">
        <v>25</v>
      </c>
      <c r="C7" s="2" t="s">
        <v>42</v>
      </c>
      <c r="F7" t="s">
        <v>73</v>
      </c>
      <c r="G7" s="9" t="s">
        <v>8</v>
      </c>
    </row>
    <row r="8" spans="1:14" x14ac:dyDescent="0.3">
      <c r="A8" s="1" t="s">
        <v>9</v>
      </c>
      <c r="B8" s="15" t="s">
        <v>26</v>
      </c>
      <c r="C8" s="1" t="s">
        <v>41</v>
      </c>
      <c r="F8" t="s">
        <v>26</v>
      </c>
      <c r="G8" s="1" t="s">
        <v>9</v>
      </c>
    </row>
    <row r="9" spans="1:14" x14ac:dyDescent="0.3">
      <c r="A9" s="1" t="s">
        <v>10</v>
      </c>
      <c r="B9" s="15" t="s">
        <v>27</v>
      </c>
      <c r="C9" s="1" t="s">
        <v>41</v>
      </c>
      <c r="F9" t="s">
        <v>27</v>
      </c>
      <c r="G9" s="1" t="s">
        <v>10</v>
      </c>
    </row>
    <row r="10" spans="1:14" x14ac:dyDescent="0.3">
      <c r="A10" s="9" t="s">
        <v>11</v>
      </c>
      <c r="B10" s="16" t="s">
        <v>28</v>
      </c>
      <c r="C10" s="9" t="s">
        <v>42</v>
      </c>
      <c r="F10" t="s">
        <v>74</v>
      </c>
      <c r="G10" s="9" t="s">
        <v>11</v>
      </c>
    </row>
    <row r="11" spans="1:14" x14ac:dyDescent="0.3">
      <c r="A11" s="1" t="s">
        <v>12</v>
      </c>
      <c r="B11" s="15" t="s">
        <v>29</v>
      </c>
      <c r="C11" s="3" t="s">
        <v>40</v>
      </c>
      <c r="F11" t="s">
        <v>29</v>
      </c>
      <c r="G11" s="1" t="s">
        <v>12</v>
      </c>
    </row>
    <row r="12" spans="1:14" x14ac:dyDescent="0.3">
      <c r="A12" s="4" t="s">
        <v>1</v>
      </c>
      <c r="B12" s="15" t="s">
        <v>30</v>
      </c>
      <c r="C12" s="1" t="s">
        <v>40</v>
      </c>
      <c r="F12" t="s">
        <v>75</v>
      </c>
      <c r="G12" s="4" t="s">
        <v>1</v>
      </c>
    </row>
    <row r="13" spans="1:14" x14ac:dyDescent="0.3">
      <c r="A13" s="1" t="s">
        <v>13</v>
      </c>
      <c r="B13" s="15" t="s">
        <v>31</v>
      </c>
      <c r="C13" s="3" t="s">
        <v>62</v>
      </c>
      <c r="F13" t="s">
        <v>76</v>
      </c>
      <c r="G13" s="1" t="s">
        <v>13</v>
      </c>
    </row>
    <row r="14" spans="1:14" x14ac:dyDescent="0.3">
      <c r="A14" s="10" t="s">
        <v>14</v>
      </c>
      <c r="B14" s="17" t="s">
        <v>32</v>
      </c>
      <c r="C14" s="10" t="s">
        <v>40</v>
      </c>
      <c r="F14" t="s">
        <v>77</v>
      </c>
      <c r="G14" s="10" t="s">
        <v>14</v>
      </c>
    </row>
    <row r="15" spans="1:14" x14ac:dyDescent="0.3">
      <c r="A15" s="1" t="s">
        <v>15</v>
      </c>
      <c r="B15" s="15" t="s">
        <v>33</v>
      </c>
      <c r="C15" s="1" t="s">
        <v>40</v>
      </c>
      <c r="F15" t="s">
        <v>78</v>
      </c>
      <c r="G15" s="1" t="s">
        <v>15</v>
      </c>
    </row>
    <row r="16" spans="1:14" x14ac:dyDescent="0.3">
      <c r="A16" s="4" t="s">
        <v>2</v>
      </c>
      <c r="B16" s="15" t="s">
        <v>34</v>
      </c>
      <c r="C16" s="1" t="s">
        <v>40</v>
      </c>
      <c r="F16" t="s">
        <v>79</v>
      </c>
      <c r="G16" s="4" t="s">
        <v>2</v>
      </c>
    </row>
    <row r="17" spans="1:7" x14ac:dyDescent="0.3">
      <c r="A17" s="1" t="s">
        <v>17</v>
      </c>
      <c r="B17" s="15" t="s">
        <v>35</v>
      </c>
      <c r="C17" s="1" t="s">
        <v>40</v>
      </c>
      <c r="F17" t="s">
        <v>80</v>
      </c>
      <c r="G17" s="1" t="s">
        <v>17</v>
      </c>
    </row>
    <row r="18" spans="1:7" x14ac:dyDescent="0.3">
      <c r="A18" s="1" t="s">
        <v>52</v>
      </c>
      <c r="B18" s="15"/>
      <c r="C18" s="1" t="s">
        <v>40</v>
      </c>
      <c r="F18" t="s">
        <v>81</v>
      </c>
      <c r="G18" s="1" t="s">
        <v>52</v>
      </c>
    </row>
    <row r="19" spans="1:7" x14ac:dyDescent="0.3">
      <c r="A19" s="11" t="s">
        <v>50</v>
      </c>
      <c r="B19" s="4"/>
      <c r="C19" s="4"/>
      <c r="G19" s="11" t="s">
        <v>50</v>
      </c>
    </row>
    <row r="20" spans="1:7" x14ac:dyDescent="0.3">
      <c r="A20" s="12" t="s">
        <v>53</v>
      </c>
      <c r="B20" s="4"/>
      <c r="C20" s="3"/>
      <c r="G20" s="12" t="s">
        <v>53</v>
      </c>
    </row>
    <row r="21" spans="1:7" x14ac:dyDescent="0.3">
      <c r="A21" s="11" t="s">
        <v>50</v>
      </c>
      <c r="B21" s="4"/>
      <c r="C21" s="4"/>
      <c r="G21" s="11" t="s">
        <v>50</v>
      </c>
    </row>
    <row r="22" spans="1:7" x14ac:dyDescent="0.3">
      <c r="A22" s="4" t="s">
        <v>3</v>
      </c>
      <c r="B22" s="4" t="s">
        <v>36</v>
      </c>
      <c r="C22" s="1" t="s">
        <v>40</v>
      </c>
      <c r="F22" t="s">
        <v>88</v>
      </c>
      <c r="G22" s="4" t="s">
        <v>3</v>
      </c>
    </row>
    <row r="23" spans="1:7" x14ac:dyDescent="0.3">
      <c r="A23" s="9" t="s">
        <v>8</v>
      </c>
      <c r="B23" s="18" t="s">
        <v>25</v>
      </c>
      <c r="C23" s="9" t="s">
        <v>42</v>
      </c>
      <c r="F23" t="s">
        <v>73</v>
      </c>
      <c r="G23" s="9" t="s">
        <v>8</v>
      </c>
    </row>
    <row r="24" spans="1:7" x14ac:dyDescent="0.3">
      <c r="A24" s="9" t="s">
        <v>19</v>
      </c>
      <c r="B24" s="18" t="s">
        <v>37</v>
      </c>
      <c r="C24" s="2" t="s">
        <v>42</v>
      </c>
      <c r="F24" t="s">
        <v>89</v>
      </c>
      <c r="G24" s="9" t="s">
        <v>19</v>
      </c>
    </row>
    <row r="25" spans="1:7" x14ac:dyDescent="0.3">
      <c r="A25" s="1" t="s">
        <v>54</v>
      </c>
      <c r="B25" s="4" t="s">
        <v>59</v>
      </c>
      <c r="C25" s="3"/>
      <c r="F25" t="s">
        <v>86</v>
      </c>
      <c r="G25" s="1" t="s">
        <v>54</v>
      </c>
    </row>
    <row r="26" spans="1:7" x14ac:dyDescent="0.3">
      <c r="A26" s="13" t="s">
        <v>50</v>
      </c>
      <c r="B26" s="19"/>
      <c r="C26" s="19"/>
      <c r="G26" s="13" t="s">
        <v>50</v>
      </c>
    </row>
    <row r="27" spans="1:7" x14ac:dyDescent="0.3">
      <c r="A27" s="12" t="s">
        <v>53</v>
      </c>
      <c r="B27" s="19"/>
      <c r="C27" s="3"/>
      <c r="G27" s="12" t="s">
        <v>53</v>
      </c>
    </row>
    <row r="28" spans="1:7" x14ac:dyDescent="0.3">
      <c r="A28" s="13" t="s">
        <v>50</v>
      </c>
      <c r="B28" s="19"/>
      <c r="C28" s="19"/>
      <c r="G28" s="13" t="s">
        <v>50</v>
      </c>
    </row>
    <row r="29" spans="1:7" x14ac:dyDescent="0.3">
      <c r="A29" s="1" t="s">
        <v>19</v>
      </c>
      <c r="B29" s="19" t="s">
        <v>37</v>
      </c>
      <c r="C29" s="3" t="s">
        <v>42</v>
      </c>
      <c r="F29" t="s">
        <v>82</v>
      </c>
      <c r="G29" s="1" t="s">
        <v>19</v>
      </c>
    </row>
    <row r="30" spans="1:7" x14ac:dyDescent="0.3">
      <c r="A30" s="1" t="s">
        <v>55</v>
      </c>
      <c r="B30" s="19" t="s">
        <v>44</v>
      </c>
      <c r="C30" s="1" t="s">
        <v>40</v>
      </c>
      <c r="F30" t="s">
        <v>83</v>
      </c>
      <c r="G30" s="1" t="s">
        <v>55</v>
      </c>
    </row>
    <row r="31" spans="1:7" x14ac:dyDescent="0.3">
      <c r="A31" s="4" t="s">
        <v>56</v>
      </c>
      <c r="B31" s="19" t="s">
        <v>60</v>
      </c>
      <c r="C31" s="1" t="s">
        <v>40</v>
      </c>
      <c r="F31" t="s">
        <v>84</v>
      </c>
      <c r="G31" s="4" t="s">
        <v>56</v>
      </c>
    </row>
    <row r="32" spans="1:7" x14ac:dyDescent="0.3">
      <c r="A32" s="14" t="s">
        <v>20</v>
      </c>
      <c r="B32" s="20" t="s">
        <v>38</v>
      </c>
      <c r="C32" s="14" t="s">
        <v>41</v>
      </c>
      <c r="F32" t="s">
        <v>85</v>
      </c>
      <c r="G32" s="14" t="s">
        <v>20</v>
      </c>
    </row>
    <row r="33" spans="1:7" x14ac:dyDescent="0.3">
      <c r="A33" s="1" t="s">
        <v>57</v>
      </c>
      <c r="B33" s="19" t="s">
        <v>61</v>
      </c>
      <c r="C33" s="1" t="s">
        <v>39</v>
      </c>
      <c r="F33" t="s">
        <v>86</v>
      </c>
      <c r="G33" s="1" t="s">
        <v>57</v>
      </c>
    </row>
    <row r="34" spans="1:7" x14ac:dyDescent="0.3">
      <c r="A34" s="1" t="s">
        <v>12</v>
      </c>
      <c r="B34" s="19" t="s">
        <v>29</v>
      </c>
      <c r="C34" s="3" t="s">
        <v>40</v>
      </c>
      <c r="F34" t="s">
        <v>29</v>
      </c>
      <c r="G34" s="1" t="s">
        <v>12</v>
      </c>
    </row>
    <row r="35" spans="1:7" x14ac:dyDescent="0.3">
      <c r="A35" s="1" t="s">
        <v>13</v>
      </c>
      <c r="B35" s="19" t="s">
        <v>31</v>
      </c>
      <c r="C35" s="3" t="s">
        <v>40</v>
      </c>
      <c r="F35" t="s">
        <v>87</v>
      </c>
      <c r="G35" s="1" t="s">
        <v>13</v>
      </c>
    </row>
    <row r="36" spans="1:7" x14ac:dyDescent="0.3">
      <c r="A36" s="1"/>
      <c r="B36" s="19" t="s">
        <v>102</v>
      </c>
      <c r="C36" s="3" t="s">
        <v>40</v>
      </c>
      <c r="F36" t="s">
        <v>102</v>
      </c>
      <c r="G36" s="1"/>
    </row>
    <row r="37" spans="1:7" x14ac:dyDescent="0.3">
      <c r="A37" s="1"/>
      <c r="B37" s="19" t="s">
        <v>103</v>
      </c>
      <c r="C37" s="3" t="s">
        <v>42</v>
      </c>
      <c r="F37" t="s">
        <v>103</v>
      </c>
      <c r="G37" s="1"/>
    </row>
    <row r="38" spans="1:7" x14ac:dyDescent="0.3">
      <c r="A38" s="1"/>
      <c r="B38" s="19" t="s">
        <v>101</v>
      </c>
      <c r="C38" s="3" t="s">
        <v>40</v>
      </c>
      <c r="F38" t="s">
        <v>101</v>
      </c>
      <c r="G38" s="1"/>
    </row>
    <row r="39" spans="1:7" x14ac:dyDescent="0.3">
      <c r="A39" s="7" t="s">
        <v>50</v>
      </c>
      <c r="B39" s="7"/>
      <c r="C39" s="7"/>
      <c r="G39" s="7" t="s">
        <v>50</v>
      </c>
    </row>
    <row r="40" spans="1:7" x14ac:dyDescent="0.3">
      <c r="A40" s="12" t="s">
        <v>58</v>
      </c>
      <c r="B40" s="9"/>
      <c r="C40" s="9"/>
      <c r="G40" s="12" t="s">
        <v>58</v>
      </c>
    </row>
    <row r="41" spans="1:7" x14ac:dyDescent="0.3">
      <c r="B41" s="7"/>
      <c r="C41" s="7"/>
    </row>
    <row r="42" spans="1:7" x14ac:dyDescent="0.3">
      <c r="B42" s="7"/>
      <c r="C42" s="7"/>
    </row>
    <row r="43" spans="1:7" x14ac:dyDescent="0.3">
      <c r="A43" s="1"/>
      <c r="B43" s="15"/>
      <c r="C43" s="1"/>
    </row>
    <row r="44" spans="1:7" x14ac:dyDescent="0.3">
      <c r="A44" s="1"/>
      <c r="B44" s="15"/>
      <c r="C4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filterMode="1"/>
  <dimension ref="A1:AR125"/>
  <sheetViews>
    <sheetView zoomScale="96" zoomScaleNormal="96" zoomScalePageLayoutView="115" workbookViewId="0">
      <pane ySplit="2" topLeftCell="A3" activePane="bottomLeft" state="frozen"/>
      <selection pane="bottomLeft" activeCell="D7" sqref="D7"/>
    </sheetView>
  </sheetViews>
  <sheetFormatPr defaultColWidth="11" defaultRowHeight="15.6" x14ac:dyDescent="0.3"/>
  <cols>
    <col min="1" max="1" width="11.5" customWidth="1"/>
    <col min="3" max="3" width="12.5" bestFit="1" customWidth="1"/>
    <col min="4" max="4" width="16.69921875" customWidth="1"/>
    <col min="5" max="5" width="14.69921875" bestFit="1" customWidth="1"/>
    <col min="6" max="6" width="11.19921875" bestFit="1" customWidth="1"/>
    <col min="7" max="7" width="10.69921875" bestFit="1" customWidth="1"/>
    <col min="8" max="8" width="12.296875" bestFit="1" customWidth="1"/>
    <col min="9" max="9" width="12.69921875" bestFit="1" customWidth="1"/>
    <col min="10" max="10" width="11" customWidth="1"/>
    <col min="11" max="11" width="20.296875" bestFit="1" customWidth="1"/>
    <col min="12" max="12" width="11" customWidth="1"/>
    <col min="13" max="13" width="16.5" bestFit="1" customWidth="1"/>
    <col min="14" max="14" width="21.19921875" bestFit="1" customWidth="1"/>
    <col min="15" max="15" width="25.19921875" bestFit="1" customWidth="1"/>
    <col min="16" max="16" width="13" bestFit="1" customWidth="1"/>
    <col min="17" max="17" width="15.796875" bestFit="1" customWidth="1"/>
    <col min="18" max="20" width="11" customWidth="1"/>
    <col min="21" max="21" width="13" bestFit="1" customWidth="1"/>
    <col min="22" max="22" width="11.19921875" bestFit="1" customWidth="1"/>
    <col min="23" max="23" width="13.19921875" bestFit="1" customWidth="1"/>
    <col min="24" max="24" width="16.69921875" bestFit="1" customWidth="1"/>
    <col min="25" max="25" width="3.69921875" bestFit="1" customWidth="1"/>
    <col min="26" max="26" width="5.296875" bestFit="1" customWidth="1"/>
    <col min="27" max="27" width="3.69921875" bestFit="1" customWidth="1"/>
    <col min="28" max="28" width="10.5" bestFit="1" customWidth="1"/>
    <col min="29" max="29" width="59.09765625" customWidth="1"/>
    <col min="30" max="30" width="53.796875" bestFit="1" customWidth="1"/>
    <col min="31" max="31" width="12.5" bestFit="1" customWidth="1"/>
    <col min="32" max="32" width="16.69921875" bestFit="1" customWidth="1"/>
    <col min="33" max="33" width="10.296875" bestFit="1" customWidth="1"/>
    <col min="34" max="34" width="12" bestFit="1" customWidth="1"/>
    <col min="35" max="35" width="16.19921875" bestFit="1" customWidth="1"/>
    <col min="36" max="37" width="12" customWidth="1"/>
    <col min="38" max="39" width="6.296875" bestFit="1" customWidth="1"/>
  </cols>
  <sheetData>
    <row r="1" spans="1:44" ht="16.8" thickTop="1" thickBot="1" x14ac:dyDescent="0.35">
      <c r="A1" s="33" t="s">
        <v>4</v>
      </c>
      <c r="B1" s="34" t="s">
        <v>5</v>
      </c>
      <c r="C1" s="35" t="s">
        <v>6</v>
      </c>
      <c r="D1" s="35" t="s">
        <v>51</v>
      </c>
      <c r="E1" s="35" t="s">
        <v>7</v>
      </c>
      <c r="F1" s="36" t="s">
        <v>8</v>
      </c>
      <c r="G1" s="35" t="s">
        <v>9</v>
      </c>
      <c r="H1" s="35" t="s">
        <v>10</v>
      </c>
      <c r="I1" s="36" t="s">
        <v>11</v>
      </c>
      <c r="J1" s="35" t="s">
        <v>12</v>
      </c>
      <c r="K1" s="35" t="s">
        <v>1</v>
      </c>
      <c r="L1" s="35" t="s">
        <v>13</v>
      </c>
      <c r="M1" s="37" t="s">
        <v>14</v>
      </c>
      <c r="N1" s="35" t="s">
        <v>15</v>
      </c>
      <c r="O1" s="35" t="s">
        <v>16</v>
      </c>
      <c r="P1" s="35" t="s">
        <v>17</v>
      </c>
      <c r="Q1" s="35" t="s">
        <v>52</v>
      </c>
      <c r="R1" s="38" t="s">
        <v>50</v>
      </c>
      <c r="S1" s="38" t="s">
        <v>53</v>
      </c>
      <c r="T1" s="38" t="s">
        <v>50</v>
      </c>
      <c r="U1" s="35" t="s">
        <v>18</v>
      </c>
      <c r="V1" s="36" t="s">
        <v>8</v>
      </c>
      <c r="W1" s="36" t="s">
        <v>19</v>
      </c>
      <c r="X1" s="35" t="s">
        <v>54</v>
      </c>
      <c r="Y1" s="38" t="s">
        <v>50</v>
      </c>
      <c r="Z1" s="38" t="s">
        <v>53</v>
      </c>
      <c r="AA1" s="38" t="s">
        <v>50</v>
      </c>
      <c r="AB1" s="35" t="s">
        <v>19</v>
      </c>
      <c r="AC1" s="35" t="s">
        <v>55</v>
      </c>
      <c r="AD1" s="35" t="s">
        <v>56</v>
      </c>
      <c r="AE1" s="39" t="s">
        <v>20</v>
      </c>
      <c r="AF1" s="35" t="s">
        <v>57</v>
      </c>
      <c r="AG1" s="35" t="s">
        <v>12</v>
      </c>
      <c r="AH1" s="35" t="s">
        <v>13</v>
      </c>
      <c r="AI1" s="35" t="s">
        <v>105</v>
      </c>
      <c r="AJ1" s="35"/>
      <c r="AK1" s="35"/>
      <c r="AL1" s="38" t="s">
        <v>50</v>
      </c>
      <c r="AM1" s="38" t="s">
        <v>58</v>
      </c>
    </row>
    <row r="2" spans="1:44" ht="16.8" thickTop="1" thickBot="1" x14ac:dyDescent="0.35">
      <c r="A2" s="33" t="s">
        <v>21</v>
      </c>
      <c r="B2" s="33" t="s">
        <v>69</v>
      </c>
      <c r="C2" s="33" t="s">
        <v>70</v>
      </c>
      <c r="D2" s="33" t="s">
        <v>71</v>
      </c>
      <c r="E2" s="33" t="s">
        <v>72</v>
      </c>
      <c r="F2" s="33" t="s">
        <v>73</v>
      </c>
      <c r="G2" s="33" t="s">
        <v>26</v>
      </c>
      <c r="H2" s="33" t="s">
        <v>27</v>
      </c>
      <c r="I2" s="33" t="s">
        <v>74</v>
      </c>
      <c r="J2" s="33" t="s">
        <v>29</v>
      </c>
      <c r="K2" s="33" t="s">
        <v>75</v>
      </c>
      <c r="L2" s="33" t="s">
        <v>76</v>
      </c>
      <c r="M2" s="33" t="s">
        <v>77</v>
      </c>
      <c r="N2" s="33" t="s">
        <v>78</v>
      </c>
      <c r="O2" s="33" t="s">
        <v>79</v>
      </c>
      <c r="P2" s="33" t="s">
        <v>80</v>
      </c>
      <c r="Q2" s="33" t="s">
        <v>81</v>
      </c>
      <c r="R2" s="33"/>
      <c r="S2" s="33"/>
      <c r="T2" s="33"/>
      <c r="U2" s="33" t="s">
        <v>88</v>
      </c>
      <c r="V2" s="33" t="s">
        <v>73</v>
      </c>
      <c r="W2" s="33" t="s">
        <v>89</v>
      </c>
      <c r="X2" s="33" t="s">
        <v>86</v>
      </c>
      <c r="Y2" s="33"/>
      <c r="Z2" s="33"/>
      <c r="AA2" s="33"/>
      <c r="AB2" s="33" t="s">
        <v>82</v>
      </c>
      <c r="AC2" s="33" t="s">
        <v>83</v>
      </c>
      <c r="AD2" s="33" t="s">
        <v>84</v>
      </c>
      <c r="AE2" s="33" t="s">
        <v>85</v>
      </c>
      <c r="AF2" s="33" t="s">
        <v>86</v>
      </c>
      <c r="AG2" s="33" t="s">
        <v>29</v>
      </c>
      <c r="AH2" s="33" t="s">
        <v>104</v>
      </c>
      <c r="AI2" s="33" t="s">
        <v>102</v>
      </c>
      <c r="AJ2" s="33" t="s">
        <v>103</v>
      </c>
      <c r="AK2" s="33" t="s">
        <v>101</v>
      </c>
      <c r="AL2" s="33"/>
      <c r="AM2" s="33"/>
    </row>
    <row r="3" spans="1:44" ht="16.2" thickTop="1" x14ac:dyDescent="0.3">
      <c r="A3" s="22"/>
      <c r="B3" s="22"/>
      <c r="C3" s="22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</row>
    <row r="4" spans="1:44" x14ac:dyDescent="0.3">
      <c r="A4" t="s">
        <v>93</v>
      </c>
      <c r="B4" s="32">
        <v>42181</v>
      </c>
      <c r="C4" s="6">
        <v>90</v>
      </c>
      <c r="D4" t="s">
        <v>91</v>
      </c>
      <c r="E4" t="s">
        <v>46</v>
      </c>
      <c r="F4" s="6">
        <v>14.36</v>
      </c>
      <c r="G4" s="5">
        <f>B4+30</f>
        <v>42211</v>
      </c>
      <c r="H4" s="5">
        <f>B4</f>
        <v>42181</v>
      </c>
      <c r="I4">
        <v>0</v>
      </c>
      <c r="J4">
        <v>36730</v>
      </c>
      <c r="K4" t="s">
        <v>229</v>
      </c>
      <c r="M4" t="s">
        <v>106</v>
      </c>
      <c r="N4" s="23" t="s">
        <v>47</v>
      </c>
      <c r="O4" s="25">
        <v>1001</v>
      </c>
      <c r="P4" s="23" t="s">
        <v>94</v>
      </c>
      <c r="Q4" s="23"/>
      <c r="R4" s="26" t="s">
        <v>50</v>
      </c>
      <c r="S4" s="23"/>
      <c r="T4" s="26" t="s">
        <v>50</v>
      </c>
      <c r="U4" s="27" t="s">
        <v>95</v>
      </c>
      <c r="V4" s="40">
        <f>F4</f>
        <v>14.36</v>
      </c>
      <c r="W4" s="40">
        <f>C4-F4</f>
        <v>75.64</v>
      </c>
      <c r="X4" s="23" t="s">
        <v>92</v>
      </c>
      <c r="Y4" s="26" t="s">
        <v>50</v>
      </c>
      <c r="Z4" s="23"/>
      <c r="AA4" s="26" t="s">
        <v>50</v>
      </c>
      <c r="AB4" s="41">
        <f>W4</f>
        <v>75.64</v>
      </c>
      <c r="AC4" s="23">
        <v>1</v>
      </c>
      <c r="AD4" s="23" t="s">
        <v>100</v>
      </c>
      <c r="AE4" s="24">
        <v>42277</v>
      </c>
      <c r="AF4" s="23" t="s">
        <v>92</v>
      </c>
      <c r="AG4" s="23">
        <f>J4</f>
        <v>36730</v>
      </c>
      <c r="AH4" s="23"/>
      <c r="AI4" s="27" t="str">
        <f>U4</f>
        <v>P20</v>
      </c>
      <c r="AJ4" s="23"/>
      <c r="AK4" s="23"/>
      <c r="AL4" s="26" t="s">
        <v>50</v>
      </c>
      <c r="AM4" s="28" t="s">
        <v>58</v>
      </c>
      <c r="AP4" s="30"/>
      <c r="AQ4" s="30"/>
    </row>
    <row r="5" spans="1:44" x14ac:dyDescent="0.3">
      <c r="A5" t="s">
        <v>93</v>
      </c>
      <c r="B5" s="32">
        <v>42181</v>
      </c>
      <c r="C5" s="6">
        <v>86.2</v>
      </c>
      <c r="D5" t="s">
        <v>91</v>
      </c>
      <c r="E5" t="s">
        <v>46</v>
      </c>
      <c r="F5" s="6">
        <v>14.36</v>
      </c>
      <c r="G5" s="5">
        <f>B5+30</f>
        <v>42211</v>
      </c>
      <c r="H5" s="5">
        <f>B5</f>
        <v>42181</v>
      </c>
      <c r="I5">
        <v>0</v>
      </c>
      <c r="J5">
        <v>36688</v>
      </c>
      <c r="K5" t="s">
        <v>229</v>
      </c>
      <c r="M5" t="s">
        <v>107</v>
      </c>
      <c r="N5" s="23" t="s">
        <v>47</v>
      </c>
      <c r="O5" s="25">
        <v>1001</v>
      </c>
      <c r="P5" s="23" t="s">
        <v>94</v>
      </c>
      <c r="Q5" s="23"/>
      <c r="R5" s="26" t="s">
        <v>50</v>
      </c>
      <c r="S5" s="23"/>
      <c r="T5" s="26" t="s">
        <v>50</v>
      </c>
      <c r="U5" s="27" t="s">
        <v>95</v>
      </c>
      <c r="V5" s="40">
        <f t="shared" ref="V5:V68" si="0">F5</f>
        <v>14.36</v>
      </c>
      <c r="W5" s="40">
        <f t="shared" ref="W5:W68" si="1">C5-F5</f>
        <v>71.84</v>
      </c>
      <c r="X5" s="23" t="s">
        <v>92</v>
      </c>
      <c r="Y5" s="26" t="s">
        <v>50</v>
      </c>
      <c r="Z5" s="23"/>
      <c r="AA5" s="26" t="s">
        <v>50</v>
      </c>
      <c r="AB5" s="41">
        <f t="shared" ref="AB5:AB68" si="2">W5</f>
        <v>71.84</v>
      </c>
      <c r="AC5" s="23">
        <v>1</v>
      </c>
      <c r="AD5" s="23" t="s">
        <v>96</v>
      </c>
      <c r="AE5" s="24">
        <v>42277</v>
      </c>
      <c r="AF5" s="23" t="s">
        <v>92</v>
      </c>
      <c r="AG5" s="23">
        <f t="shared" ref="AG5:AG68" si="3">J5</f>
        <v>36688</v>
      </c>
      <c r="AH5" s="23"/>
      <c r="AI5" s="27" t="str">
        <f>U5</f>
        <v>P20</v>
      </c>
      <c r="AJ5" s="23"/>
      <c r="AK5" s="23"/>
      <c r="AL5" s="26" t="s">
        <v>50</v>
      </c>
      <c r="AM5" s="28" t="s">
        <v>58</v>
      </c>
      <c r="AP5" s="30"/>
      <c r="AQ5" s="30"/>
      <c r="AR5" s="31"/>
    </row>
    <row r="6" spans="1:44" x14ac:dyDescent="0.3">
      <c r="A6" t="s">
        <v>93</v>
      </c>
      <c r="B6" s="42">
        <v>42181</v>
      </c>
      <c r="C6" s="6">
        <v>482.71999999999997</v>
      </c>
      <c r="D6" t="s">
        <v>91</v>
      </c>
      <c r="E6" t="s">
        <v>46</v>
      </c>
      <c r="F6" s="6">
        <v>80.45</v>
      </c>
      <c r="G6" s="5">
        <f t="shared" ref="G6:G69" si="4">B6+30</f>
        <v>42211</v>
      </c>
      <c r="H6" s="5">
        <f t="shared" ref="H6:H69" si="5">B6</f>
        <v>42181</v>
      </c>
      <c r="I6">
        <v>0</v>
      </c>
      <c r="J6">
        <v>36689</v>
      </c>
      <c r="K6" t="s">
        <v>229</v>
      </c>
      <c r="M6" t="s">
        <v>108</v>
      </c>
      <c r="N6" s="23" t="s">
        <v>47</v>
      </c>
      <c r="O6" s="25">
        <v>1001</v>
      </c>
      <c r="P6" s="23" t="s">
        <v>94</v>
      </c>
      <c r="Q6" s="23"/>
      <c r="R6" s="26" t="s">
        <v>50</v>
      </c>
      <c r="S6" s="23"/>
      <c r="T6" s="26" t="s">
        <v>50</v>
      </c>
      <c r="U6" s="27" t="s">
        <v>95</v>
      </c>
      <c r="V6" s="40">
        <f t="shared" si="0"/>
        <v>80.45</v>
      </c>
      <c r="W6" s="40">
        <f t="shared" si="1"/>
        <v>402.27</v>
      </c>
      <c r="X6" s="23" t="s">
        <v>92</v>
      </c>
      <c r="Y6" s="26" t="s">
        <v>50</v>
      </c>
      <c r="Z6" s="23"/>
      <c r="AA6" s="26" t="s">
        <v>50</v>
      </c>
      <c r="AB6" s="41">
        <f t="shared" si="2"/>
        <v>402.27</v>
      </c>
      <c r="AC6" s="23">
        <v>1</v>
      </c>
      <c r="AD6" s="23" t="s">
        <v>96</v>
      </c>
      <c r="AE6" s="24">
        <v>42277</v>
      </c>
      <c r="AF6" s="23" t="s">
        <v>92</v>
      </c>
      <c r="AG6" s="23">
        <f t="shared" si="3"/>
        <v>36689</v>
      </c>
      <c r="AH6" s="23"/>
      <c r="AI6" s="27" t="str">
        <f t="shared" ref="AI6:AI69" si="6">U6</f>
        <v>P20</v>
      </c>
      <c r="AJ6" s="23"/>
      <c r="AK6" s="23"/>
      <c r="AL6" s="26" t="s">
        <v>50</v>
      </c>
      <c r="AM6" s="28" t="s">
        <v>58</v>
      </c>
    </row>
    <row r="7" spans="1:44" x14ac:dyDescent="0.3">
      <c r="A7" t="s">
        <v>93</v>
      </c>
      <c r="B7" s="32">
        <v>42158</v>
      </c>
      <c r="C7" s="6">
        <v>291.64</v>
      </c>
      <c r="D7" t="s">
        <v>91</v>
      </c>
      <c r="E7" t="s">
        <v>46</v>
      </c>
      <c r="F7" s="6">
        <v>48.61</v>
      </c>
      <c r="G7" s="5">
        <f t="shared" si="4"/>
        <v>42188</v>
      </c>
      <c r="H7" s="5">
        <f t="shared" si="5"/>
        <v>42158</v>
      </c>
      <c r="I7">
        <v>0</v>
      </c>
      <c r="J7">
        <v>36409</v>
      </c>
      <c r="K7" t="s">
        <v>229</v>
      </c>
      <c r="M7" t="s">
        <v>109</v>
      </c>
      <c r="N7" s="23" t="s">
        <v>47</v>
      </c>
      <c r="O7" s="25">
        <v>1001</v>
      </c>
      <c r="P7" s="23" t="s">
        <v>94</v>
      </c>
      <c r="Q7" s="23"/>
      <c r="R7" s="26" t="s">
        <v>50</v>
      </c>
      <c r="S7" s="23"/>
      <c r="T7" s="26" t="s">
        <v>50</v>
      </c>
      <c r="U7" s="27" t="s">
        <v>95</v>
      </c>
      <c r="V7" s="40">
        <f t="shared" si="0"/>
        <v>48.61</v>
      </c>
      <c r="W7" s="40">
        <f t="shared" si="1"/>
        <v>243.02999999999997</v>
      </c>
      <c r="X7" s="23" t="s">
        <v>92</v>
      </c>
      <c r="Y7" s="26" t="s">
        <v>50</v>
      </c>
      <c r="Z7" s="23"/>
      <c r="AA7" s="26" t="s">
        <v>50</v>
      </c>
      <c r="AB7" s="41">
        <f t="shared" si="2"/>
        <v>243.02999999999997</v>
      </c>
      <c r="AC7" s="23">
        <v>1</v>
      </c>
      <c r="AD7" s="23" t="s">
        <v>96</v>
      </c>
      <c r="AE7" s="24">
        <v>42277</v>
      </c>
      <c r="AF7" s="23" t="s">
        <v>92</v>
      </c>
      <c r="AG7" s="23">
        <f t="shared" si="3"/>
        <v>36409</v>
      </c>
      <c r="AH7" s="23"/>
      <c r="AI7" s="27" t="str">
        <f t="shared" si="6"/>
        <v>P20</v>
      </c>
      <c r="AJ7" s="23"/>
      <c r="AK7" s="23"/>
      <c r="AL7" s="26" t="s">
        <v>50</v>
      </c>
      <c r="AM7" s="28" t="s">
        <v>58</v>
      </c>
    </row>
    <row r="8" spans="1:44" x14ac:dyDescent="0.3">
      <c r="A8" t="s">
        <v>93</v>
      </c>
      <c r="B8" s="32">
        <v>42158</v>
      </c>
      <c r="C8" s="6">
        <v>1487.2800000000002</v>
      </c>
      <c r="D8" t="s">
        <v>91</v>
      </c>
      <c r="E8" t="s">
        <v>46</v>
      </c>
      <c r="F8" s="6">
        <v>247.88</v>
      </c>
      <c r="G8" s="5">
        <f t="shared" si="4"/>
        <v>42188</v>
      </c>
      <c r="H8" s="5">
        <f t="shared" si="5"/>
        <v>42158</v>
      </c>
      <c r="I8">
        <v>0</v>
      </c>
      <c r="J8">
        <v>36410</v>
      </c>
      <c r="K8" t="s">
        <v>229</v>
      </c>
      <c r="M8" t="s">
        <v>110</v>
      </c>
      <c r="N8" s="23" t="s">
        <v>47</v>
      </c>
      <c r="O8" s="25">
        <v>1001</v>
      </c>
      <c r="P8" s="23" t="s">
        <v>94</v>
      </c>
      <c r="Q8" s="23"/>
      <c r="R8" s="26" t="s">
        <v>50</v>
      </c>
      <c r="S8" s="23"/>
      <c r="T8" s="26" t="s">
        <v>50</v>
      </c>
      <c r="U8" s="27" t="s">
        <v>95</v>
      </c>
      <c r="V8" s="40">
        <f t="shared" si="0"/>
        <v>247.88</v>
      </c>
      <c r="W8" s="40">
        <f t="shared" si="1"/>
        <v>1239.4000000000001</v>
      </c>
      <c r="X8" s="23" t="s">
        <v>92</v>
      </c>
      <c r="Y8" s="26" t="s">
        <v>50</v>
      </c>
      <c r="Z8" s="23"/>
      <c r="AA8" s="26" t="s">
        <v>50</v>
      </c>
      <c r="AB8" s="41">
        <f t="shared" si="2"/>
        <v>1239.4000000000001</v>
      </c>
      <c r="AC8" s="23">
        <v>1</v>
      </c>
      <c r="AD8" s="23" t="s">
        <v>96</v>
      </c>
      <c r="AE8" s="24">
        <v>42277</v>
      </c>
      <c r="AF8" s="23" t="s">
        <v>92</v>
      </c>
      <c r="AG8" s="23">
        <f t="shared" si="3"/>
        <v>36410</v>
      </c>
      <c r="AH8" s="23"/>
      <c r="AI8" s="27" t="str">
        <f t="shared" si="6"/>
        <v>P20</v>
      </c>
      <c r="AJ8" s="23"/>
      <c r="AK8" s="23"/>
      <c r="AL8" s="26" t="s">
        <v>50</v>
      </c>
      <c r="AM8" s="28" t="s">
        <v>58</v>
      </c>
    </row>
    <row r="9" spans="1:44" x14ac:dyDescent="0.3">
      <c r="A9" t="s">
        <v>93</v>
      </c>
      <c r="B9" s="32">
        <v>42159</v>
      </c>
      <c r="C9" s="6">
        <v>209.96</v>
      </c>
      <c r="D9" t="s">
        <v>91</v>
      </c>
      <c r="E9" t="s">
        <v>46</v>
      </c>
      <c r="F9" s="6">
        <v>34.99</v>
      </c>
      <c r="G9" s="5">
        <f t="shared" si="4"/>
        <v>42189</v>
      </c>
      <c r="H9" s="5">
        <f t="shared" si="5"/>
        <v>42159</v>
      </c>
      <c r="I9">
        <v>0</v>
      </c>
      <c r="J9">
        <v>36415</v>
      </c>
      <c r="K9" t="s">
        <v>229</v>
      </c>
      <c r="M9" t="s">
        <v>111</v>
      </c>
      <c r="N9" s="23" t="s">
        <v>47</v>
      </c>
      <c r="O9" s="25">
        <v>1001</v>
      </c>
      <c r="P9" s="23" t="s">
        <v>94</v>
      </c>
      <c r="Q9" s="23"/>
      <c r="R9" s="26" t="s">
        <v>50</v>
      </c>
      <c r="S9" s="23"/>
      <c r="T9" s="26" t="s">
        <v>50</v>
      </c>
      <c r="U9" s="27" t="s">
        <v>95</v>
      </c>
      <c r="V9" s="40">
        <f t="shared" si="0"/>
        <v>34.99</v>
      </c>
      <c r="W9" s="40">
        <f t="shared" si="1"/>
        <v>174.97</v>
      </c>
      <c r="X9" s="23" t="s">
        <v>92</v>
      </c>
      <c r="Y9" s="26" t="s">
        <v>50</v>
      </c>
      <c r="Z9" s="23"/>
      <c r="AA9" s="26" t="s">
        <v>50</v>
      </c>
      <c r="AB9" s="41">
        <f t="shared" si="2"/>
        <v>174.97</v>
      </c>
      <c r="AC9" s="23">
        <v>1</v>
      </c>
      <c r="AD9" s="23" t="s">
        <v>96</v>
      </c>
      <c r="AE9" s="24">
        <v>42277</v>
      </c>
      <c r="AF9" s="23" t="s">
        <v>92</v>
      </c>
      <c r="AG9" s="23">
        <f t="shared" si="3"/>
        <v>36415</v>
      </c>
      <c r="AH9" s="23"/>
      <c r="AI9" s="27" t="str">
        <f t="shared" si="6"/>
        <v>P20</v>
      </c>
      <c r="AJ9" s="23"/>
      <c r="AK9" s="23"/>
      <c r="AL9" s="26" t="s">
        <v>50</v>
      </c>
      <c r="AM9" s="28" t="s">
        <v>58</v>
      </c>
    </row>
    <row r="10" spans="1:44" x14ac:dyDescent="0.3">
      <c r="A10" t="s">
        <v>93</v>
      </c>
      <c r="B10" s="32">
        <v>42160</v>
      </c>
      <c r="C10" s="6">
        <v>531.45000000000005</v>
      </c>
      <c r="D10" t="s">
        <v>91</v>
      </c>
      <c r="E10" t="s">
        <v>46</v>
      </c>
      <c r="F10" s="6">
        <v>88.58</v>
      </c>
      <c r="G10" s="5">
        <f t="shared" si="4"/>
        <v>42190</v>
      </c>
      <c r="H10" s="5">
        <f t="shared" si="5"/>
        <v>42160</v>
      </c>
      <c r="I10">
        <v>0</v>
      </c>
      <c r="J10">
        <v>36421</v>
      </c>
      <c r="K10" t="s">
        <v>229</v>
      </c>
      <c r="M10" t="s">
        <v>112</v>
      </c>
      <c r="N10" s="23" t="s">
        <v>47</v>
      </c>
      <c r="O10" s="25">
        <v>1001</v>
      </c>
      <c r="P10" s="23" t="s">
        <v>94</v>
      </c>
      <c r="Q10" s="23"/>
      <c r="R10" s="26" t="s">
        <v>50</v>
      </c>
      <c r="S10" s="23"/>
      <c r="T10" s="26" t="s">
        <v>50</v>
      </c>
      <c r="U10" s="27" t="s">
        <v>95</v>
      </c>
      <c r="V10" s="40">
        <f t="shared" si="0"/>
        <v>88.58</v>
      </c>
      <c r="W10" s="40">
        <f t="shared" si="1"/>
        <v>442.87000000000006</v>
      </c>
      <c r="X10" s="23" t="s">
        <v>92</v>
      </c>
      <c r="Y10" s="26" t="s">
        <v>50</v>
      </c>
      <c r="Z10" s="23"/>
      <c r="AA10" s="26" t="s">
        <v>50</v>
      </c>
      <c r="AB10" s="41">
        <f t="shared" si="2"/>
        <v>442.87000000000006</v>
      </c>
      <c r="AC10" s="23">
        <v>1</v>
      </c>
      <c r="AD10" s="23" t="s">
        <v>98</v>
      </c>
      <c r="AE10" s="24">
        <v>42277</v>
      </c>
      <c r="AF10" s="23" t="s">
        <v>92</v>
      </c>
      <c r="AG10" s="23">
        <f t="shared" si="3"/>
        <v>36421</v>
      </c>
      <c r="AH10" s="23"/>
      <c r="AI10" s="27" t="str">
        <f t="shared" si="6"/>
        <v>P20</v>
      </c>
      <c r="AJ10" s="23"/>
      <c r="AK10" s="23"/>
      <c r="AL10" s="26" t="s">
        <v>50</v>
      </c>
      <c r="AM10" s="28" t="s">
        <v>58</v>
      </c>
    </row>
    <row r="11" spans="1:44" x14ac:dyDescent="0.3">
      <c r="A11" t="s">
        <v>93</v>
      </c>
      <c r="B11" s="32">
        <v>42160</v>
      </c>
      <c r="C11" s="6">
        <v>79.75</v>
      </c>
      <c r="D11" t="s">
        <v>91</v>
      </c>
      <c r="E11" t="s">
        <v>46</v>
      </c>
      <c r="F11" s="6">
        <v>13.29</v>
      </c>
      <c r="G11" s="5">
        <f t="shared" si="4"/>
        <v>42190</v>
      </c>
      <c r="H11" s="5">
        <f t="shared" si="5"/>
        <v>42160</v>
      </c>
      <c r="I11">
        <v>0</v>
      </c>
      <c r="J11">
        <v>36422</v>
      </c>
      <c r="K11" t="s">
        <v>229</v>
      </c>
      <c r="M11" t="s">
        <v>113</v>
      </c>
      <c r="N11" s="23" t="s">
        <v>47</v>
      </c>
      <c r="O11" s="25">
        <v>1001</v>
      </c>
      <c r="P11" s="23" t="s">
        <v>94</v>
      </c>
      <c r="Q11" s="23"/>
      <c r="R11" s="26" t="s">
        <v>50</v>
      </c>
      <c r="S11" s="23"/>
      <c r="T11" s="26" t="s">
        <v>50</v>
      </c>
      <c r="U11" s="27" t="s">
        <v>95</v>
      </c>
      <c r="V11" s="40">
        <f t="shared" si="0"/>
        <v>13.29</v>
      </c>
      <c r="W11" s="40">
        <f t="shared" si="1"/>
        <v>66.460000000000008</v>
      </c>
      <c r="X11" s="23" t="s">
        <v>92</v>
      </c>
      <c r="Y11" s="26" t="s">
        <v>50</v>
      </c>
      <c r="Z11" s="23"/>
      <c r="AA11" s="26" t="s">
        <v>50</v>
      </c>
      <c r="AB11" s="41">
        <f t="shared" si="2"/>
        <v>66.460000000000008</v>
      </c>
      <c r="AC11" s="23">
        <v>1</v>
      </c>
      <c r="AD11" s="23" t="s">
        <v>99</v>
      </c>
      <c r="AE11" s="24">
        <v>42277</v>
      </c>
      <c r="AF11" s="23" t="s">
        <v>92</v>
      </c>
      <c r="AG11" s="23">
        <f t="shared" si="3"/>
        <v>36422</v>
      </c>
      <c r="AH11" s="23"/>
      <c r="AI11" s="27" t="str">
        <f t="shared" si="6"/>
        <v>P20</v>
      </c>
      <c r="AJ11" s="23"/>
      <c r="AK11" s="23"/>
      <c r="AL11" s="26" t="s">
        <v>50</v>
      </c>
      <c r="AM11" s="28" t="s">
        <v>58</v>
      </c>
    </row>
    <row r="12" spans="1:44" x14ac:dyDescent="0.3">
      <c r="A12" t="s">
        <v>93</v>
      </c>
      <c r="B12" s="32">
        <v>42160</v>
      </c>
      <c r="C12" s="6">
        <v>904.90000000000009</v>
      </c>
      <c r="D12" t="s">
        <v>91</v>
      </c>
      <c r="E12" t="s">
        <v>46</v>
      </c>
      <c r="F12" s="6">
        <v>150.82</v>
      </c>
      <c r="G12" s="5">
        <f t="shared" si="4"/>
        <v>42190</v>
      </c>
      <c r="H12" s="5">
        <f t="shared" si="5"/>
        <v>42160</v>
      </c>
      <c r="I12">
        <v>0</v>
      </c>
      <c r="J12">
        <v>36423</v>
      </c>
      <c r="K12" t="s">
        <v>229</v>
      </c>
      <c r="M12" t="s">
        <v>114</v>
      </c>
      <c r="N12" s="23" t="s">
        <v>47</v>
      </c>
      <c r="O12" s="25">
        <v>1001</v>
      </c>
      <c r="P12" s="23" t="s">
        <v>94</v>
      </c>
      <c r="Q12" s="23"/>
      <c r="R12" s="26" t="s">
        <v>50</v>
      </c>
      <c r="S12" s="23"/>
      <c r="T12" s="26" t="s">
        <v>50</v>
      </c>
      <c r="U12" s="27" t="s">
        <v>95</v>
      </c>
      <c r="V12" s="40">
        <f t="shared" si="0"/>
        <v>150.82</v>
      </c>
      <c r="W12" s="40">
        <f t="shared" si="1"/>
        <v>754.08000000000015</v>
      </c>
      <c r="X12" s="23" t="s">
        <v>92</v>
      </c>
      <c r="Y12" s="26" t="s">
        <v>50</v>
      </c>
      <c r="Z12" s="23"/>
      <c r="AA12" s="26" t="s">
        <v>50</v>
      </c>
      <c r="AB12" s="41">
        <f t="shared" si="2"/>
        <v>754.08000000000015</v>
      </c>
      <c r="AC12" s="23">
        <v>1</v>
      </c>
      <c r="AD12" s="23" t="s">
        <v>99</v>
      </c>
      <c r="AE12" s="24">
        <v>42277</v>
      </c>
      <c r="AF12" s="23" t="s">
        <v>92</v>
      </c>
      <c r="AG12" s="23">
        <f t="shared" si="3"/>
        <v>36423</v>
      </c>
      <c r="AH12" s="23"/>
      <c r="AI12" s="27" t="str">
        <f t="shared" si="6"/>
        <v>P20</v>
      </c>
      <c r="AJ12" s="23"/>
      <c r="AK12" s="23"/>
      <c r="AL12" s="26" t="s">
        <v>50</v>
      </c>
      <c r="AM12" s="28" t="s">
        <v>58</v>
      </c>
    </row>
    <row r="13" spans="1:44" x14ac:dyDescent="0.3">
      <c r="A13" t="s">
        <v>93</v>
      </c>
      <c r="B13" s="32">
        <v>42160</v>
      </c>
      <c r="C13" s="6">
        <v>1164.24</v>
      </c>
      <c r="D13" t="s">
        <v>91</v>
      </c>
      <c r="E13" t="s">
        <v>46</v>
      </c>
      <c r="F13" s="6">
        <v>194.04</v>
      </c>
      <c r="G13" s="5">
        <f t="shared" si="4"/>
        <v>42190</v>
      </c>
      <c r="H13" s="5">
        <f t="shared" si="5"/>
        <v>42160</v>
      </c>
      <c r="I13">
        <v>0</v>
      </c>
      <c r="J13">
        <v>36424</v>
      </c>
      <c r="K13" t="s">
        <v>229</v>
      </c>
      <c r="M13" t="s">
        <v>115</v>
      </c>
      <c r="N13" s="23" t="s">
        <v>47</v>
      </c>
      <c r="O13" s="25">
        <v>1001</v>
      </c>
      <c r="P13" s="23" t="s">
        <v>94</v>
      </c>
      <c r="Q13" s="23"/>
      <c r="R13" s="26" t="s">
        <v>50</v>
      </c>
      <c r="S13" s="23"/>
      <c r="T13" s="26" t="s">
        <v>50</v>
      </c>
      <c r="U13" s="27" t="s">
        <v>95</v>
      </c>
      <c r="V13" s="40">
        <f t="shared" si="0"/>
        <v>194.04</v>
      </c>
      <c r="W13" s="40">
        <f t="shared" si="1"/>
        <v>970.2</v>
      </c>
      <c r="X13" s="23" t="s">
        <v>92</v>
      </c>
      <c r="Y13" s="26" t="s">
        <v>50</v>
      </c>
      <c r="Z13" s="23"/>
      <c r="AA13" s="26" t="s">
        <v>50</v>
      </c>
      <c r="AB13" s="41">
        <f t="shared" si="2"/>
        <v>970.2</v>
      </c>
      <c r="AC13" s="23">
        <v>1</v>
      </c>
      <c r="AD13" s="23" t="s">
        <v>99</v>
      </c>
      <c r="AE13" s="24">
        <v>42277</v>
      </c>
      <c r="AF13" s="23" t="s">
        <v>92</v>
      </c>
      <c r="AG13" s="23">
        <f t="shared" si="3"/>
        <v>36424</v>
      </c>
      <c r="AH13" s="23"/>
      <c r="AI13" s="27" t="str">
        <f t="shared" si="6"/>
        <v>P20</v>
      </c>
      <c r="AJ13" s="23"/>
      <c r="AK13" s="23"/>
      <c r="AL13" s="26" t="s">
        <v>50</v>
      </c>
      <c r="AM13" s="28" t="s">
        <v>58</v>
      </c>
    </row>
    <row r="14" spans="1:44" x14ac:dyDescent="0.3">
      <c r="A14" t="s">
        <v>93</v>
      </c>
      <c r="B14" s="32">
        <v>42161</v>
      </c>
      <c r="C14" s="6">
        <v>125.72999999999999</v>
      </c>
      <c r="D14" t="s">
        <v>91</v>
      </c>
      <c r="E14" t="s">
        <v>46</v>
      </c>
      <c r="F14" s="6">
        <v>20.96</v>
      </c>
      <c r="G14" s="5">
        <f t="shared" si="4"/>
        <v>42191</v>
      </c>
      <c r="H14" s="5">
        <f t="shared" si="5"/>
        <v>42161</v>
      </c>
      <c r="I14">
        <v>0</v>
      </c>
      <c r="J14">
        <v>36426</v>
      </c>
      <c r="K14" t="s">
        <v>229</v>
      </c>
      <c r="M14" t="s">
        <v>116</v>
      </c>
      <c r="N14" s="23" t="s">
        <v>47</v>
      </c>
      <c r="O14" s="25">
        <v>1001</v>
      </c>
      <c r="P14" s="23" t="s">
        <v>94</v>
      </c>
      <c r="Q14" s="23"/>
      <c r="R14" s="26" t="s">
        <v>50</v>
      </c>
      <c r="S14" s="23"/>
      <c r="T14" s="26" t="s">
        <v>50</v>
      </c>
      <c r="U14" s="27" t="s">
        <v>95</v>
      </c>
      <c r="V14" s="40">
        <f t="shared" si="0"/>
        <v>20.96</v>
      </c>
      <c r="W14" s="40">
        <f t="shared" si="1"/>
        <v>104.76999999999998</v>
      </c>
      <c r="X14" s="23" t="s">
        <v>92</v>
      </c>
      <c r="Y14" s="26" t="s">
        <v>50</v>
      </c>
      <c r="Z14" s="23"/>
      <c r="AA14" s="26" t="s">
        <v>50</v>
      </c>
      <c r="AB14" s="41">
        <f t="shared" si="2"/>
        <v>104.76999999999998</v>
      </c>
      <c r="AC14" s="23">
        <v>1</v>
      </c>
      <c r="AD14" s="23" t="s">
        <v>99</v>
      </c>
      <c r="AE14" s="24">
        <v>42277</v>
      </c>
      <c r="AF14" s="23" t="s">
        <v>92</v>
      </c>
      <c r="AG14" s="23">
        <f t="shared" si="3"/>
        <v>36426</v>
      </c>
      <c r="AH14" s="23"/>
      <c r="AI14" s="27" t="str">
        <f t="shared" si="6"/>
        <v>P20</v>
      </c>
      <c r="AJ14" s="23"/>
      <c r="AK14" s="23"/>
      <c r="AL14" s="26" t="s">
        <v>50</v>
      </c>
      <c r="AM14" s="28" t="s">
        <v>58</v>
      </c>
    </row>
    <row r="15" spans="1:44" x14ac:dyDescent="0.3">
      <c r="A15" t="s">
        <v>93</v>
      </c>
      <c r="B15" s="32">
        <v>42163</v>
      </c>
      <c r="C15" s="6">
        <v>261.27</v>
      </c>
      <c r="D15" t="s">
        <v>91</v>
      </c>
      <c r="E15" t="s">
        <v>46</v>
      </c>
      <c r="F15" s="6">
        <v>43.55</v>
      </c>
      <c r="G15" s="5">
        <f t="shared" si="4"/>
        <v>42193</v>
      </c>
      <c r="H15" s="5">
        <f t="shared" si="5"/>
        <v>42163</v>
      </c>
      <c r="I15">
        <v>0</v>
      </c>
      <c r="J15">
        <v>36476</v>
      </c>
      <c r="K15" t="s">
        <v>229</v>
      </c>
      <c r="M15" t="s">
        <v>117</v>
      </c>
      <c r="N15" s="23" t="s">
        <v>47</v>
      </c>
      <c r="O15" s="25">
        <v>1001</v>
      </c>
      <c r="P15" s="23" t="s">
        <v>94</v>
      </c>
      <c r="Q15" s="23"/>
      <c r="R15" s="26" t="s">
        <v>50</v>
      </c>
      <c r="S15" s="23"/>
      <c r="T15" s="26" t="s">
        <v>50</v>
      </c>
      <c r="U15" s="27" t="s">
        <v>95</v>
      </c>
      <c r="V15" s="40">
        <f t="shared" si="0"/>
        <v>43.55</v>
      </c>
      <c r="W15" s="40">
        <f t="shared" si="1"/>
        <v>217.71999999999997</v>
      </c>
      <c r="X15" s="23" t="s">
        <v>92</v>
      </c>
      <c r="Y15" s="26" t="s">
        <v>50</v>
      </c>
      <c r="Z15" s="23"/>
      <c r="AA15" s="26" t="s">
        <v>50</v>
      </c>
      <c r="AB15" s="41">
        <f t="shared" si="2"/>
        <v>217.71999999999997</v>
      </c>
      <c r="AC15" s="23">
        <v>1</v>
      </c>
      <c r="AD15" s="23" t="s">
        <v>99</v>
      </c>
      <c r="AE15" s="24">
        <v>42277</v>
      </c>
      <c r="AF15" s="23" t="s">
        <v>92</v>
      </c>
      <c r="AG15" s="23">
        <f t="shared" si="3"/>
        <v>36476</v>
      </c>
      <c r="AH15" s="23"/>
      <c r="AI15" s="27" t="str">
        <f t="shared" si="6"/>
        <v>P20</v>
      </c>
      <c r="AJ15" s="23"/>
      <c r="AK15" s="23"/>
      <c r="AL15" s="26" t="s">
        <v>50</v>
      </c>
      <c r="AM15" s="28" t="s">
        <v>58</v>
      </c>
    </row>
    <row r="16" spans="1:44" x14ac:dyDescent="0.3">
      <c r="A16" t="s">
        <v>93</v>
      </c>
      <c r="B16" s="32">
        <v>42163</v>
      </c>
      <c r="C16" s="6">
        <v>226.22000000000003</v>
      </c>
      <c r="D16" t="s">
        <v>91</v>
      </c>
      <c r="E16" t="s">
        <v>46</v>
      </c>
      <c r="F16" s="6">
        <v>37.700000000000003</v>
      </c>
      <c r="G16" s="5">
        <f t="shared" si="4"/>
        <v>42193</v>
      </c>
      <c r="H16" s="5">
        <f t="shared" si="5"/>
        <v>42163</v>
      </c>
      <c r="I16">
        <v>0</v>
      </c>
      <c r="J16">
        <v>36479</v>
      </c>
      <c r="K16" t="s">
        <v>229</v>
      </c>
      <c r="M16" t="s">
        <v>118</v>
      </c>
      <c r="N16" s="23" t="s">
        <v>47</v>
      </c>
      <c r="O16" s="25">
        <v>1001</v>
      </c>
      <c r="P16" s="23" t="s">
        <v>94</v>
      </c>
      <c r="Q16" s="23"/>
      <c r="R16" s="26" t="s">
        <v>50</v>
      </c>
      <c r="S16" s="23"/>
      <c r="T16" s="26" t="s">
        <v>50</v>
      </c>
      <c r="U16" s="27" t="s">
        <v>95</v>
      </c>
      <c r="V16" s="40">
        <f t="shared" si="0"/>
        <v>37.700000000000003</v>
      </c>
      <c r="W16" s="40">
        <f t="shared" si="1"/>
        <v>188.52000000000004</v>
      </c>
      <c r="X16" s="23" t="s">
        <v>92</v>
      </c>
      <c r="Y16" s="26" t="s">
        <v>50</v>
      </c>
      <c r="Z16" s="23"/>
      <c r="AA16" s="26" t="s">
        <v>50</v>
      </c>
      <c r="AB16" s="41">
        <f t="shared" si="2"/>
        <v>188.52000000000004</v>
      </c>
      <c r="AC16" s="23">
        <v>1</v>
      </c>
      <c r="AD16" s="23" t="s">
        <v>97</v>
      </c>
      <c r="AE16" s="24">
        <v>42277</v>
      </c>
      <c r="AF16" s="23" t="s">
        <v>92</v>
      </c>
      <c r="AG16" s="23">
        <f t="shared" si="3"/>
        <v>36479</v>
      </c>
      <c r="AH16" s="23"/>
      <c r="AI16" s="27" t="str">
        <f t="shared" si="6"/>
        <v>P20</v>
      </c>
      <c r="AJ16" s="23"/>
      <c r="AK16" s="23"/>
      <c r="AL16" s="26" t="s">
        <v>50</v>
      </c>
      <c r="AM16" s="28" t="s">
        <v>58</v>
      </c>
    </row>
    <row r="17" spans="1:39" x14ac:dyDescent="0.3">
      <c r="A17" t="s">
        <v>93</v>
      </c>
      <c r="B17" s="32">
        <v>42161</v>
      </c>
      <c r="C17" s="6">
        <v>480.96000000000004</v>
      </c>
      <c r="D17" t="s">
        <v>91</v>
      </c>
      <c r="E17" t="s">
        <v>46</v>
      </c>
      <c r="F17" s="6">
        <v>80.16</v>
      </c>
      <c r="G17" s="5">
        <f t="shared" si="4"/>
        <v>42191</v>
      </c>
      <c r="H17" s="5">
        <f t="shared" si="5"/>
        <v>42161</v>
      </c>
      <c r="I17">
        <v>0</v>
      </c>
      <c r="J17">
        <v>36425</v>
      </c>
      <c r="K17" t="s">
        <v>229</v>
      </c>
      <c r="M17" t="s">
        <v>119</v>
      </c>
      <c r="N17" s="23" t="s">
        <v>47</v>
      </c>
      <c r="O17" s="25">
        <v>1001</v>
      </c>
      <c r="P17" s="23" t="s">
        <v>94</v>
      </c>
      <c r="Q17" s="23"/>
      <c r="R17" s="26" t="s">
        <v>50</v>
      </c>
      <c r="S17" s="23"/>
      <c r="T17" s="26" t="s">
        <v>50</v>
      </c>
      <c r="U17" s="27" t="s">
        <v>95</v>
      </c>
      <c r="V17" s="40">
        <f t="shared" si="0"/>
        <v>80.16</v>
      </c>
      <c r="W17" s="40">
        <f t="shared" si="1"/>
        <v>400.80000000000007</v>
      </c>
      <c r="X17" s="23" t="s">
        <v>92</v>
      </c>
      <c r="Y17" s="26" t="s">
        <v>50</v>
      </c>
      <c r="Z17" s="23"/>
      <c r="AA17" s="26" t="s">
        <v>50</v>
      </c>
      <c r="AB17" s="41">
        <f t="shared" si="2"/>
        <v>400.80000000000007</v>
      </c>
      <c r="AC17" s="23">
        <v>1</v>
      </c>
      <c r="AD17" s="23" t="s">
        <v>97</v>
      </c>
      <c r="AE17" s="24">
        <v>42277</v>
      </c>
      <c r="AF17" s="23" t="s">
        <v>92</v>
      </c>
      <c r="AG17" s="23">
        <f t="shared" si="3"/>
        <v>36425</v>
      </c>
      <c r="AH17" s="23"/>
      <c r="AI17" s="27" t="str">
        <f t="shared" si="6"/>
        <v>P20</v>
      </c>
      <c r="AJ17" s="23"/>
      <c r="AK17" s="23"/>
      <c r="AL17" s="26" t="s">
        <v>50</v>
      </c>
      <c r="AM17" s="28" t="s">
        <v>58</v>
      </c>
    </row>
    <row r="18" spans="1:39" x14ac:dyDescent="0.3">
      <c r="A18" t="s">
        <v>93</v>
      </c>
      <c r="B18" s="32">
        <v>42163</v>
      </c>
      <c r="C18" s="6">
        <v>1740</v>
      </c>
      <c r="D18" t="s">
        <v>91</v>
      </c>
      <c r="E18" t="s">
        <v>46</v>
      </c>
      <c r="F18" s="6">
        <v>290</v>
      </c>
      <c r="G18" s="5">
        <f t="shared" si="4"/>
        <v>42193</v>
      </c>
      <c r="H18" s="5">
        <f t="shared" si="5"/>
        <v>42163</v>
      </c>
      <c r="I18">
        <v>0</v>
      </c>
      <c r="J18">
        <v>36480</v>
      </c>
      <c r="K18" t="s">
        <v>229</v>
      </c>
      <c r="M18" t="s">
        <v>120</v>
      </c>
      <c r="N18" s="23" t="s">
        <v>47</v>
      </c>
      <c r="O18" s="25">
        <v>1001</v>
      </c>
      <c r="P18" s="23" t="s">
        <v>94</v>
      </c>
      <c r="Q18" s="23"/>
      <c r="R18" s="26" t="s">
        <v>50</v>
      </c>
      <c r="S18" s="23"/>
      <c r="T18" s="26" t="s">
        <v>50</v>
      </c>
      <c r="U18" s="27" t="s">
        <v>95</v>
      </c>
      <c r="V18" s="40">
        <f t="shared" si="0"/>
        <v>290</v>
      </c>
      <c r="W18" s="40">
        <f t="shared" si="1"/>
        <v>1450</v>
      </c>
      <c r="X18" s="23" t="s">
        <v>92</v>
      </c>
      <c r="Y18" s="26" t="s">
        <v>50</v>
      </c>
      <c r="Z18" s="23"/>
      <c r="AA18" s="26" t="s">
        <v>50</v>
      </c>
      <c r="AB18" s="41">
        <f t="shared" si="2"/>
        <v>1450</v>
      </c>
      <c r="AC18" s="23">
        <v>1</v>
      </c>
      <c r="AD18" s="23" t="s">
        <v>97</v>
      </c>
      <c r="AE18" s="24">
        <v>42277</v>
      </c>
      <c r="AF18" s="23" t="s">
        <v>92</v>
      </c>
      <c r="AG18" s="23">
        <f t="shared" si="3"/>
        <v>36480</v>
      </c>
      <c r="AH18" s="23"/>
      <c r="AI18" s="27" t="str">
        <f t="shared" si="6"/>
        <v>P20</v>
      </c>
      <c r="AJ18" s="23"/>
      <c r="AK18" s="23"/>
      <c r="AL18" s="26" t="s">
        <v>50</v>
      </c>
      <c r="AM18" s="28" t="s">
        <v>58</v>
      </c>
    </row>
    <row r="19" spans="1:39" x14ac:dyDescent="0.3">
      <c r="A19" t="s">
        <v>93</v>
      </c>
      <c r="B19" s="32">
        <v>42164</v>
      </c>
      <c r="C19" s="6">
        <v>652.32000000000005</v>
      </c>
      <c r="D19" t="s">
        <v>91</v>
      </c>
      <c r="E19" t="s">
        <v>46</v>
      </c>
      <c r="F19" s="6">
        <v>108.72</v>
      </c>
      <c r="G19" s="5">
        <f t="shared" si="4"/>
        <v>42194</v>
      </c>
      <c r="H19" s="5">
        <f t="shared" si="5"/>
        <v>42164</v>
      </c>
      <c r="I19">
        <v>0</v>
      </c>
      <c r="J19">
        <v>36482</v>
      </c>
      <c r="K19" t="s">
        <v>229</v>
      </c>
      <c r="M19" t="s">
        <v>121</v>
      </c>
      <c r="N19" s="23" t="s">
        <v>47</v>
      </c>
      <c r="O19" s="25">
        <v>1001</v>
      </c>
      <c r="P19" s="23" t="s">
        <v>94</v>
      </c>
      <c r="Q19" s="23"/>
      <c r="R19" s="26" t="s">
        <v>50</v>
      </c>
      <c r="S19" s="23"/>
      <c r="T19" s="26" t="s">
        <v>50</v>
      </c>
      <c r="U19" s="27" t="s">
        <v>95</v>
      </c>
      <c r="V19" s="40">
        <f t="shared" si="0"/>
        <v>108.72</v>
      </c>
      <c r="W19" s="40">
        <f t="shared" si="1"/>
        <v>543.6</v>
      </c>
      <c r="X19" s="23" t="s">
        <v>92</v>
      </c>
      <c r="Y19" s="26" t="s">
        <v>50</v>
      </c>
      <c r="Z19" s="23"/>
      <c r="AA19" s="26" t="s">
        <v>50</v>
      </c>
      <c r="AB19" s="41">
        <f t="shared" si="2"/>
        <v>543.6</v>
      </c>
      <c r="AC19" s="23">
        <v>1</v>
      </c>
      <c r="AD19" s="23" t="s">
        <v>97</v>
      </c>
      <c r="AE19" s="24">
        <v>42277</v>
      </c>
      <c r="AF19" s="23" t="s">
        <v>92</v>
      </c>
      <c r="AG19" s="23">
        <f t="shared" si="3"/>
        <v>36482</v>
      </c>
      <c r="AH19" s="23"/>
      <c r="AI19" s="27" t="str">
        <f t="shared" si="6"/>
        <v>P20</v>
      </c>
      <c r="AJ19" s="23"/>
      <c r="AK19" s="23"/>
      <c r="AL19" s="26" t="s">
        <v>50</v>
      </c>
      <c r="AM19" s="28" t="s">
        <v>58</v>
      </c>
    </row>
    <row r="20" spans="1:39" x14ac:dyDescent="0.3">
      <c r="A20" t="s">
        <v>93</v>
      </c>
      <c r="B20" s="32">
        <v>42164</v>
      </c>
      <c r="C20" s="6">
        <v>1181.45</v>
      </c>
      <c r="D20" t="s">
        <v>91</v>
      </c>
      <c r="E20" t="s">
        <v>46</v>
      </c>
      <c r="F20" s="6">
        <v>196.91</v>
      </c>
      <c r="G20" s="5">
        <f t="shared" si="4"/>
        <v>42194</v>
      </c>
      <c r="H20" s="5">
        <f t="shared" si="5"/>
        <v>42164</v>
      </c>
      <c r="I20">
        <v>0</v>
      </c>
      <c r="J20">
        <v>36483</v>
      </c>
      <c r="K20" t="s">
        <v>229</v>
      </c>
      <c r="M20" t="s">
        <v>122</v>
      </c>
      <c r="N20" s="23" t="s">
        <v>47</v>
      </c>
      <c r="O20" s="25">
        <v>1001</v>
      </c>
      <c r="P20" s="23" t="s">
        <v>94</v>
      </c>
      <c r="Q20" s="23"/>
      <c r="R20" s="26" t="s">
        <v>50</v>
      </c>
      <c r="S20" s="23"/>
      <c r="T20" s="26" t="s">
        <v>50</v>
      </c>
      <c r="U20" s="27" t="s">
        <v>95</v>
      </c>
      <c r="V20" s="40">
        <f t="shared" si="0"/>
        <v>196.91</v>
      </c>
      <c r="W20" s="40">
        <f t="shared" si="1"/>
        <v>984.54000000000008</v>
      </c>
      <c r="X20" s="23" t="s">
        <v>92</v>
      </c>
      <c r="Y20" s="26" t="s">
        <v>50</v>
      </c>
      <c r="Z20" s="23"/>
      <c r="AA20" s="26" t="s">
        <v>50</v>
      </c>
      <c r="AB20" s="41">
        <f t="shared" si="2"/>
        <v>984.54000000000008</v>
      </c>
      <c r="AC20" s="23">
        <v>1</v>
      </c>
      <c r="AD20" s="23" t="s">
        <v>97</v>
      </c>
      <c r="AE20" s="24">
        <v>42277</v>
      </c>
      <c r="AF20" s="23" t="s">
        <v>92</v>
      </c>
      <c r="AG20" s="23">
        <f t="shared" si="3"/>
        <v>36483</v>
      </c>
      <c r="AH20" s="23"/>
      <c r="AI20" s="27" t="str">
        <f t="shared" si="6"/>
        <v>P20</v>
      </c>
      <c r="AJ20" s="23"/>
      <c r="AK20" s="23"/>
      <c r="AL20" s="26" t="s">
        <v>50</v>
      </c>
      <c r="AM20" s="28" t="s">
        <v>58</v>
      </c>
    </row>
    <row r="21" spans="1:39" x14ac:dyDescent="0.3">
      <c r="A21" t="s">
        <v>93</v>
      </c>
      <c r="B21" s="32">
        <v>42165</v>
      </c>
      <c r="C21" s="6">
        <v>507.96000000000004</v>
      </c>
      <c r="D21" t="s">
        <v>91</v>
      </c>
      <c r="E21" t="s">
        <v>46</v>
      </c>
      <c r="F21" s="6">
        <v>84.66</v>
      </c>
      <c r="G21" s="5">
        <f t="shared" si="4"/>
        <v>42195</v>
      </c>
      <c r="H21" s="5">
        <f t="shared" si="5"/>
        <v>42165</v>
      </c>
      <c r="I21">
        <v>0</v>
      </c>
      <c r="J21">
        <v>36490</v>
      </c>
      <c r="K21" t="s">
        <v>229</v>
      </c>
      <c r="M21" t="s">
        <v>123</v>
      </c>
      <c r="N21" s="23" t="s">
        <v>47</v>
      </c>
      <c r="O21" s="25">
        <v>1001</v>
      </c>
      <c r="P21" s="23" t="s">
        <v>94</v>
      </c>
      <c r="Q21" s="23"/>
      <c r="R21" s="26" t="s">
        <v>50</v>
      </c>
      <c r="S21" s="23"/>
      <c r="T21" s="26" t="s">
        <v>50</v>
      </c>
      <c r="U21" s="27" t="s">
        <v>95</v>
      </c>
      <c r="V21" s="40">
        <f t="shared" si="0"/>
        <v>84.66</v>
      </c>
      <c r="W21" s="40">
        <f t="shared" si="1"/>
        <v>423.30000000000007</v>
      </c>
      <c r="X21" s="23" t="s">
        <v>92</v>
      </c>
      <c r="Y21" s="26" t="s">
        <v>50</v>
      </c>
      <c r="Z21" s="23"/>
      <c r="AA21" s="26" t="s">
        <v>50</v>
      </c>
      <c r="AB21" s="41">
        <f t="shared" si="2"/>
        <v>423.30000000000007</v>
      </c>
      <c r="AC21" s="23">
        <v>1</v>
      </c>
      <c r="AD21" s="23" t="s">
        <v>97</v>
      </c>
      <c r="AE21" s="24">
        <v>42277</v>
      </c>
      <c r="AF21" s="23" t="s">
        <v>92</v>
      </c>
      <c r="AG21" s="23">
        <f t="shared" si="3"/>
        <v>36490</v>
      </c>
      <c r="AH21" s="23"/>
      <c r="AI21" s="27" t="str">
        <f t="shared" si="6"/>
        <v>P20</v>
      </c>
      <c r="AJ21" s="23"/>
      <c r="AK21" s="23"/>
      <c r="AL21" s="26" t="s">
        <v>50</v>
      </c>
      <c r="AM21" s="28" t="s">
        <v>58</v>
      </c>
    </row>
    <row r="22" spans="1:39" x14ac:dyDescent="0.3">
      <c r="A22" t="s">
        <v>93</v>
      </c>
      <c r="B22" s="32">
        <v>42166</v>
      </c>
      <c r="C22" s="6">
        <v>132</v>
      </c>
      <c r="D22" t="s">
        <v>91</v>
      </c>
      <c r="E22" t="s">
        <v>46</v>
      </c>
      <c r="F22" s="6">
        <v>22</v>
      </c>
      <c r="G22" s="5">
        <f t="shared" si="4"/>
        <v>42196</v>
      </c>
      <c r="H22" s="5">
        <f t="shared" si="5"/>
        <v>42166</v>
      </c>
      <c r="I22">
        <v>0</v>
      </c>
      <c r="J22">
        <v>36534</v>
      </c>
      <c r="K22" t="s">
        <v>229</v>
      </c>
      <c r="M22" t="s">
        <v>124</v>
      </c>
      <c r="N22" s="23" t="s">
        <v>47</v>
      </c>
      <c r="O22" s="25">
        <v>1001</v>
      </c>
      <c r="P22" s="23" t="s">
        <v>94</v>
      </c>
      <c r="Q22" s="23"/>
      <c r="R22" s="26" t="s">
        <v>50</v>
      </c>
      <c r="S22" s="23"/>
      <c r="T22" s="26" t="s">
        <v>50</v>
      </c>
      <c r="U22" s="27" t="s">
        <v>95</v>
      </c>
      <c r="V22" s="40">
        <f t="shared" si="0"/>
        <v>22</v>
      </c>
      <c r="W22" s="40">
        <f t="shared" si="1"/>
        <v>110</v>
      </c>
      <c r="X22" s="23" t="s">
        <v>92</v>
      </c>
      <c r="Y22" s="26" t="s">
        <v>50</v>
      </c>
      <c r="Z22" s="23"/>
      <c r="AA22" s="26" t="s">
        <v>50</v>
      </c>
      <c r="AB22" s="41">
        <f t="shared" si="2"/>
        <v>110</v>
      </c>
      <c r="AC22" s="23">
        <v>1</v>
      </c>
      <c r="AD22" s="23" t="s">
        <v>97</v>
      </c>
      <c r="AE22" s="24">
        <v>42277</v>
      </c>
      <c r="AF22" s="23" t="s">
        <v>92</v>
      </c>
      <c r="AG22" s="23">
        <f t="shared" si="3"/>
        <v>36534</v>
      </c>
      <c r="AH22" s="23"/>
      <c r="AI22" s="27" t="str">
        <f t="shared" si="6"/>
        <v>P20</v>
      </c>
      <c r="AJ22" s="23"/>
      <c r="AK22" s="23"/>
      <c r="AL22" s="26" t="s">
        <v>50</v>
      </c>
      <c r="AM22" s="28" t="s">
        <v>58</v>
      </c>
    </row>
    <row r="23" spans="1:39" x14ac:dyDescent="0.3">
      <c r="A23" t="s">
        <v>93</v>
      </c>
      <c r="B23" s="32">
        <v>42166</v>
      </c>
      <c r="C23" s="6">
        <v>696.58</v>
      </c>
      <c r="D23" t="s">
        <v>91</v>
      </c>
      <c r="E23" t="s">
        <v>46</v>
      </c>
      <c r="F23" s="6">
        <v>116.09</v>
      </c>
      <c r="G23" s="5">
        <f t="shared" si="4"/>
        <v>42196</v>
      </c>
      <c r="H23" s="5">
        <f t="shared" si="5"/>
        <v>42166</v>
      </c>
      <c r="I23">
        <v>0</v>
      </c>
      <c r="J23">
        <v>36535</v>
      </c>
      <c r="K23" t="s">
        <v>229</v>
      </c>
      <c r="M23" t="s">
        <v>125</v>
      </c>
      <c r="N23" s="23" t="s">
        <v>47</v>
      </c>
      <c r="O23" s="25">
        <v>1001</v>
      </c>
      <c r="P23" s="23" t="s">
        <v>94</v>
      </c>
      <c r="Q23" s="23"/>
      <c r="R23" s="26" t="s">
        <v>50</v>
      </c>
      <c r="S23" s="23"/>
      <c r="T23" s="26" t="s">
        <v>50</v>
      </c>
      <c r="U23" s="27" t="s">
        <v>95</v>
      </c>
      <c r="V23" s="40">
        <f t="shared" si="0"/>
        <v>116.09</v>
      </c>
      <c r="W23" s="40">
        <f t="shared" si="1"/>
        <v>580.49</v>
      </c>
      <c r="X23" s="23" t="s">
        <v>92</v>
      </c>
      <c r="Y23" s="26" t="s">
        <v>50</v>
      </c>
      <c r="Z23" s="23"/>
      <c r="AA23" s="26" t="s">
        <v>50</v>
      </c>
      <c r="AB23" s="41">
        <f t="shared" si="2"/>
        <v>580.49</v>
      </c>
      <c r="AC23" s="23">
        <v>1</v>
      </c>
      <c r="AD23" s="23" t="s">
        <v>97</v>
      </c>
      <c r="AE23" s="24">
        <v>42277</v>
      </c>
      <c r="AF23" s="23" t="s">
        <v>92</v>
      </c>
      <c r="AG23" s="23">
        <f t="shared" si="3"/>
        <v>36535</v>
      </c>
      <c r="AH23" s="23"/>
      <c r="AI23" s="27" t="str">
        <f t="shared" si="6"/>
        <v>P20</v>
      </c>
      <c r="AJ23" s="23"/>
      <c r="AK23" s="23"/>
      <c r="AL23" s="26" t="s">
        <v>50</v>
      </c>
      <c r="AM23" s="28" t="s">
        <v>58</v>
      </c>
    </row>
    <row r="24" spans="1:39" x14ac:dyDescent="0.3">
      <c r="A24" t="s">
        <v>93</v>
      </c>
      <c r="B24" s="32">
        <v>42173</v>
      </c>
      <c r="C24" s="6">
        <v>60</v>
      </c>
      <c r="D24" t="s">
        <v>91</v>
      </c>
      <c r="E24" t="s">
        <v>46</v>
      </c>
      <c r="F24" s="6">
        <v>10</v>
      </c>
      <c r="G24" s="5">
        <f t="shared" si="4"/>
        <v>42203</v>
      </c>
      <c r="H24" s="5">
        <f t="shared" si="5"/>
        <v>42173</v>
      </c>
      <c r="I24">
        <v>0</v>
      </c>
      <c r="J24">
        <v>36635</v>
      </c>
      <c r="K24" t="s">
        <v>229</v>
      </c>
      <c r="M24" t="s">
        <v>126</v>
      </c>
      <c r="N24" s="23" t="s">
        <v>47</v>
      </c>
      <c r="O24" s="25">
        <v>1001</v>
      </c>
      <c r="P24" s="23" t="s">
        <v>94</v>
      </c>
      <c r="Q24" s="23"/>
      <c r="R24" s="26" t="s">
        <v>50</v>
      </c>
      <c r="S24" s="23"/>
      <c r="T24" s="26" t="s">
        <v>50</v>
      </c>
      <c r="U24" s="27" t="s">
        <v>95</v>
      </c>
      <c r="V24" s="40">
        <f t="shared" si="0"/>
        <v>10</v>
      </c>
      <c r="W24" s="40">
        <f t="shared" si="1"/>
        <v>50</v>
      </c>
      <c r="X24" s="23" t="s">
        <v>92</v>
      </c>
      <c r="Y24" s="26" t="s">
        <v>50</v>
      </c>
      <c r="Z24" s="23"/>
      <c r="AA24" s="26" t="s">
        <v>50</v>
      </c>
      <c r="AB24" s="41">
        <f t="shared" si="2"/>
        <v>50</v>
      </c>
      <c r="AC24" s="23">
        <v>1</v>
      </c>
      <c r="AD24" s="23" t="s">
        <v>97</v>
      </c>
      <c r="AE24" s="24">
        <v>42277</v>
      </c>
      <c r="AF24" s="23" t="s">
        <v>92</v>
      </c>
      <c r="AG24" s="23">
        <f t="shared" si="3"/>
        <v>36635</v>
      </c>
      <c r="AH24" s="23"/>
      <c r="AI24" s="27" t="str">
        <f t="shared" si="6"/>
        <v>P20</v>
      </c>
      <c r="AJ24" s="23"/>
      <c r="AK24" s="23"/>
      <c r="AL24" s="26" t="s">
        <v>50</v>
      </c>
      <c r="AM24" s="28" t="s">
        <v>58</v>
      </c>
    </row>
    <row r="25" spans="1:39" x14ac:dyDescent="0.3">
      <c r="A25" t="s">
        <v>93</v>
      </c>
      <c r="B25" s="32">
        <v>42173</v>
      </c>
      <c r="C25" s="6">
        <v>3210</v>
      </c>
      <c r="D25" t="s">
        <v>91</v>
      </c>
      <c r="E25" t="s">
        <v>46</v>
      </c>
      <c r="F25" s="6">
        <v>535</v>
      </c>
      <c r="G25" s="5">
        <f t="shared" si="4"/>
        <v>42203</v>
      </c>
      <c r="H25" s="5">
        <f t="shared" si="5"/>
        <v>42173</v>
      </c>
      <c r="I25">
        <v>0</v>
      </c>
      <c r="J25">
        <v>36636</v>
      </c>
      <c r="K25" t="s">
        <v>229</v>
      </c>
      <c r="M25" t="s">
        <v>127</v>
      </c>
      <c r="N25" s="23" t="s">
        <v>47</v>
      </c>
      <c r="O25" s="25">
        <v>1001</v>
      </c>
      <c r="P25" s="23" t="s">
        <v>94</v>
      </c>
      <c r="Q25" s="23"/>
      <c r="R25" s="26" t="s">
        <v>50</v>
      </c>
      <c r="S25" s="23"/>
      <c r="T25" s="26" t="s">
        <v>50</v>
      </c>
      <c r="U25" s="27" t="s">
        <v>95</v>
      </c>
      <c r="V25" s="40">
        <f t="shared" si="0"/>
        <v>535</v>
      </c>
      <c r="W25" s="40">
        <f t="shared" si="1"/>
        <v>2675</v>
      </c>
      <c r="X25" s="23" t="s">
        <v>92</v>
      </c>
      <c r="Y25" s="26" t="s">
        <v>50</v>
      </c>
      <c r="Z25" s="23"/>
      <c r="AA25" s="26" t="s">
        <v>50</v>
      </c>
      <c r="AB25" s="41">
        <f t="shared" si="2"/>
        <v>2675</v>
      </c>
      <c r="AC25" s="23">
        <v>1</v>
      </c>
      <c r="AD25" s="23" t="s">
        <v>97</v>
      </c>
      <c r="AE25" s="24">
        <v>42277</v>
      </c>
      <c r="AF25" s="23" t="s">
        <v>92</v>
      </c>
      <c r="AG25" s="23">
        <f t="shared" si="3"/>
        <v>36636</v>
      </c>
      <c r="AH25" s="23"/>
      <c r="AI25" s="27" t="str">
        <f t="shared" si="6"/>
        <v>P20</v>
      </c>
      <c r="AJ25" s="23"/>
      <c r="AK25" s="23"/>
      <c r="AL25" s="26" t="s">
        <v>50</v>
      </c>
      <c r="AM25" s="28" t="s">
        <v>58</v>
      </c>
    </row>
    <row r="26" spans="1:39" x14ac:dyDescent="0.3">
      <c r="A26" t="s">
        <v>93</v>
      </c>
      <c r="B26" s="32">
        <v>42174</v>
      </c>
      <c r="C26" s="6">
        <v>151.80000000000001</v>
      </c>
      <c r="D26" t="s">
        <v>91</v>
      </c>
      <c r="E26" t="s">
        <v>46</v>
      </c>
      <c r="F26" s="6">
        <v>25.3</v>
      </c>
      <c r="G26" s="5">
        <f t="shared" si="4"/>
        <v>42204</v>
      </c>
      <c r="H26" s="5">
        <f t="shared" si="5"/>
        <v>42174</v>
      </c>
      <c r="I26">
        <v>0</v>
      </c>
      <c r="J26">
        <v>36640</v>
      </c>
      <c r="K26" t="s">
        <v>229</v>
      </c>
      <c r="M26" t="s">
        <v>128</v>
      </c>
      <c r="N26" s="23" t="s">
        <v>47</v>
      </c>
      <c r="O26" s="25">
        <v>1001</v>
      </c>
      <c r="P26" s="23" t="s">
        <v>94</v>
      </c>
      <c r="Q26" s="23"/>
      <c r="R26" s="26" t="s">
        <v>50</v>
      </c>
      <c r="S26" s="23"/>
      <c r="T26" s="26" t="s">
        <v>50</v>
      </c>
      <c r="U26" s="27" t="s">
        <v>95</v>
      </c>
      <c r="V26" s="40">
        <f t="shared" si="0"/>
        <v>25.3</v>
      </c>
      <c r="W26" s="40">
        <f t="shared" si="1"/>
        <v>126.50000000000001</v>
      </c>
      <c r="X26" s="23" t="s">
        <v>92</v>
      </c>
      <c r="Y26" s="26" t="s">
        <v>50</v>
      </c>
      <c r="Z26" s="23"/>
      <c r="AA26" s="26" t="s">
        <v>50</v>
      </c>
      <c r="AB26" s="41">
        <f t="shared" si="2"/>
        <v>126.50000000000001</v>
      </c>
      <c r="AC26" s="23">
        <v>1</v>
      </c>
      <c r="AD26" s="23" t="s">
        <v>97</v>
      </c>
      <c r="AE26" s="24">
        <v>42277</v>
      </c>
      <c r="AF26" s="23" t="s">
        <v>92</v>
      </c>
      <c r="AG26" s="23">
        <f t="shared" si="3"/>
        <v>36640</v>
      </c>
      <c r="AH26" s="23"/>
      <c r="AI26" s="27" t="str">
        <f t="shared" si="6"/>
        <v>P20</v>
      </c>
      <c r="AJ26" s="23"/>
      <c r="AK26" s="23"/>
      <c r="AL26" s="26" t="s">
        <v>50</v>
      </c>
      <c r="AM26" s="28" t="s">
        <v>58</v>
      </c>
    </row>
    <row r="27" spans="1:39" x14ac:dyDescent="0.3">
      <c r="A27" t="s">
        <v>93</v>
      </c>
      <c r="B27" s="32">
        <v>42174</v>
      </c>
      <c r="C27" s="6">
        <v>825.72</v>
      </c>
      <c r="D27" t="s">
        <v>91</v>
      </c>
      <c r="E27" t="s">
        <v>46</v>
      </c>
      <c r="F27" s="6">
        <v>137.62</v>
      </c>
      <c r="G27" s="5">
        <f t="shared" si="4"/>
        <v>42204</v>
      </c>
      <c r="H27" s="5">
        <f t="shared" si="5"/>
        <v>42174</v>
      </c>
      <c r="I27">
        <v>0</v>
      </c>
      <c r="J27">
        <v>36641</v>
      </c>
      <c r="K27" t="s">
        <v>229</v>
      </c>
      <c r="M27" t="s">
        <v>129</v>
      </c>
      <c r="N27" s="23" t="s">
        <v>47</v>
      </c>
      <c r="O27" s="25">
        <v>1001</v>
      </c>
      <c r="P27" s="23" t="s">
        <v>94</v>
      </c>
      <c r="Q27" s="23"/>
      <c r="R27" s="26" t="s">
        <v>50</v>
      </c>
      <c r="S27" s="23"/>
      <c r="T27" s="26" t="s">
        <v>50</v>
      </c>
      <c r="U27" s="27" t="s">
        <v>95</v>
      </c>
      <c r="V27" s="40">
        <f t="shared" si="0"/>
        <v>137.62</v>
      </c>
      <c r="W27" s="40">
        <f t="shared" si="1"/>
        <v>688.1</v>
      </c>
      <c r="X27" s="23" t="s">
        <v>92</v>
      </c>
      <c r="Y27" s="26" t="s">
        <v>50</v>
      </c>
      <c r="Z27" s="23"/>
      <c r="AA27" s="26" t="s">
        <v>50</v>
      </c>
      <c r="AB27" s="41">
        <f t="shared" si="2"/>
        <v>688.1</v>
      </c>
      <c r="AC27" s="23">
        <v>1</v>
      </c>
      <c r="AD27" s="23" t="s">
        <v>97</v>
      </c>
      <c r="AE27" s="24">
        <v>42277</v>
      </c>
      <c r="AF27" s="23" t="s">
        <v>92</v>
      </c>
      <c r="AG27" s="23">
        <f t="shared" si="3"/>
        <v>36641</v>
      </c>
      <c r="AH27" s="23"/>
      <c r="AI27" s="27" t="str">
        <f t="shared" si="6"/>
        <v>P20</v>
      </c>
      <c r="AJ27" s="23"/>
      <c r="AK27" s="23"/>
      <c r="AL27" s="26" t="s">
        <v>50</v>
      </c>
      <c r="AM27" s="28" t="s">
        <v>58</v>
      </c>
    </row>
    <row r="28" spans="1:39" x14ac:dyDescent="0.3">
      <c r="A28" t="s">
        <v>93</v>
      </c>
      <c r="B28" s="32">
        <v>42179</v>
      </c>
      <c r="C28" s="6">
        <v>333.78</v>
      </c>
      <c r="D28" t="s">
        <v>91</v>
      </c>
      <c r="E28" t="s">
        <v>46</v>
      </c>
      <c r="F28" s="6">
        <v>55.63</v>
      </c>
      <c r="G28" s="5">
        <f t="shared" si="4"/>
        <v>42209</v>
      </c>
      <c r="H28" s="5">
        <f t="shared" si="5"/>
        <v>42179</v>
      </c>
      <c r="I28">
        <v>0</v>
      </c>
      <c r="J28">
        <v>36685</v>
      </c>
      <c r="K28" t="s">
        <v>229</v>
      </c>
      <c r="M28" t="s">
        <v>130</v>
      </c>
      <c r="N28" s="23" t="s">
        <v>47</v>
      </c>
      <c r="O28" s="25">
        <v>1001</v>
      </c>
      <c r="P28" s="23" t="s">
        <v>94</v>
      </c>
      <c r="Q28" s="23"/>
      <c r="R28" s="26" t="s">
        <v>50</v>
      </c>
      <c r="S28" s="23"/>
      <c r="T28" s="26" t="s">
        <v>50</v>
      </c>
      <c r="U28" s="27" t="s">
        <v>95</v>
      </c>
      <c r="V28" s="40">
        <f t="shared" si="0"/>
        <v>55.63</v>
      </c>
      <c r="W28" s="40">
        <f t="shared" si="1"/>
        <v>278.14999999999998</v>
      </c>
      <c r="X28" s="23" t="s">
        <v>92</v>
      </c>
      <c r="Y28" s="26" t="s">
        <v>50</v>
      </c>
      <c r="Z28" s="23"/>
      <c r="AA28" s="26" t="s">
        <v>50</v>
      </c>
      <c r="AB28" s="41">
        <f t="shared" si="2"/>
        <v>278.14999999999998</v>
      </c>
      <c r="AC28" s="23">
        <v>1</v>
      </c>
      <c r="AD28" s="23" t="s">
        <v>97</v>
      </c>
      <c r="AE28" s="24">
        <v>42277</v>
      </c>
      <c r="AF28" s="23" t="s">
        <v>92</v>
      </c>
      <c r="AG28" s="23">
        <f t="shared" si="3"/>
        <v>36685</v>
      </c>
      <c r="AH28" s="23"/>
      <c r="AI28" s="27" t="str">
        <f t="shared" si="6"/>
        <v>P20</v>
      </c>
      <c r="AJ28" s="23"/>
      <c r="AK28" s="23"/>
      <c r="AL28" s="26" t="s">
        <v>50</v>
      </c>
      <c r="AM28" s="28" t="s">
        <v>58</v>
      </c>
    </row>
    <row r="29" spans="1:39" x14ac:dyDescent="0.3">
      <c r="A29" t="s">
        <v>93</v>
      </c>
      <c r="B29" s="42">
        <v>42185</v>
      </c>
      <c r="C29" s="6">
        <v>656.93000000000006</v>
      </c>
      <c r="D29" t="s">
        <v>91</v>
      </c>
      <c r="E29" t="s">
        <v>46</v>
      </c>
      <c r="F29" s="6">
        <v>109.49</v>
      </c>
      <c r="G29" s="5">
        <f t="shared" si="4"/>
        <v>42215</v>
      </c>
      <c r="H29" s="5">
        <f t="shared" si="5"/>
        <v>42185</v>
      </c>
      <c r="I29">
        <v>0</v>
      </c>
      <c r="J29">
        <v>36733</v>
      </c>
      <c r="K29" t="s">
        <v>229</v>
      </c>
      <c r="M29" t="s">
        <v>131</v>
      </c>
      <c r="N29" s="23" t="s">
        <v>47</v>
      </c>
      <c r="O29" s="25">
        <v>1001</v>
      </c>
      <c r="P29" s="23" t="s">
        <v>94</v>
      </c>
      <c r="Q29" s="23"/>
      <c r="R29" s="26" t="s">
        <v>50</v>
      </c>
      <c r="S29" s="23"/>
      <c r="T29" s="26" t="s">
        <v>50</v>
      </c>
      <c r="U29" s="27" t="s">
        <v>95</v>
      </c>
      <c r="V29" s="40">
        <f t="shared" si="0"/>
        <v>109.49</v>
      </c>
      <c r="W29" s="40">
        <f t="shared" si="1"/>
        <v>547.44000000000005</v>
      </c>
      <c r="X29" s="23" t="s">
        <v>92</v>
      </c>
      <c r="Y29" s="26" t="s">
        <v>50</v>
      </c>
      <c r="Z29" s="23"/>
      <c r="AA29" s="26" t="s">
        <v>50</v>
      </c>
      <c r="AB29" s="41">
        <f t="shared" si="2"/>
        <v>547.44000000000005</v>
      </c>
      <c r="AC29" s="23">
        <v>1</v>
      </c>
      <c r="AD29" s="23" t="s">
        <v>97</v>
      </c>
      <c r="AE29" s="24">
        <v>42277</v>
      </c>
      <c r="AF29" s="23" t="s">
        <v>92</v>
      </c>
      <c r="AG29" s="23">
        <f t="shared" si="3"/>
        <v>36733</v>
      </c>
      <c r="AH29" s="23"/>
      <c r="AI29" s="27" t="str">
        <f t="shared" si="6"/>
        <v>P20</v>
      </c>
      <c r="AJ29" s="23"/>
      <c r="AK29" s="23"/>
      <c r="AL29" s="26" t="s">
        <v>50</v>
      </c>
      <c r="AM29" s="28" t="s">
        <v>58</v>
      </c>
    </row>
    <row r="30" spans="1:39" x14ac:dyDescent="0.3">
      <c r="A30" t="s">
        <v>93</v>
      </c>
      <c r="B30" s="42">
        <v>42185</v>
      </c>
      <c r="C30" s="6">
        <v>984</v>
      </c>
      <c r="D30" t="s">
        <v>91</v>
      </c>
      <c r="E30" t="s">
        <v>46</v>
      </c>
      <c r="F30" s="6">
        <v>164</v>
      </c>
      <c r="G30" s="5">
        <f t="shared" si="4"/>
        <v>42215</v>
      </c>
      <c r="H30" s="5">
        <f t="shared" si="5"/>
        <v>42185</v>
      </c>
      <c r="I30">
        <v>0</v>
      </c>
      <c r="J30">
        <v>36734</v>
      </c>
      <c r="K30" t="s">
        <v>229</v>
      </c>
      <c r="M30" t="s">
        <v>132</v>
      </c>
      <c r="N30" s="23" t="s">
        <v>47</v>
      </c>
      <c r="O30" s="25">
        <v>1001</v>
      </c>
      <c r="P30" s="23" t="s">
        <v>94</v>
      </c>
      <c r="Q30" s="23"/>
      <c r="R30" s="26" t="s">
        <v>50</v>
      </c>
      <c r="S30" s="23"/>
      <c r="T30" s="26" t="s">
        <v>50</v>
      </c>
      <c r="U30" s="27" t="s">
        <v>95</v>
      </c>
      <c r="V30" s="40">
        <f t="shared" si="0"/>
        <v>164</v>
      </c>
      <c r="W30" s="40">
        <f t="shared" si="1"/>
        <v>820</v>
      </c>
      <c r="X30" s="23" t="s">
        <v>92</v>
      </c>
      <c r="Y30" s="26" t="s">
        <v>50</v>
      </c>
      <c r="Z30" s="23"/>
      <c r="AA30" s="26" t="s">
        <v>50</v>
      </c>
      <c r="AB30" s="41">
        <f t="shared" si="2"/>
        <v>820</v>
      </c>
      <c r="AC30" s="23">
        <v>1</v>
      </c>
      <c r="AD30" s="23" t="s">
        <v>97</v>
      </c>
      <c r="AE30" s="24">
        <v>42277</v>
      </c>
      <c r="AF30" s="23" t="s">
        <v>92</v>
      </c>
      <c r="AG30" s="23">
        <f t="shared" si="3"/>
        <v>36734</v>
      </c>
      <c r="AH30" s="23"/>
      <c r="AI30" s="27" t="str">
        <f t="shared" si="6"/>
        <v>P20</v>
      </c>
      <c r="AJ30" s="23"/>
      <c r="AK30" s="23"/>
      <c r="AL30" s="26" t="s">
        <v>50</v>
      </c>
      <c r="AM30" s="28" t="s">
        <v>58</v>
      </c>
    </row>
    <row r="31" spans="1:39" x14ac:dyDescent="0.3">
      <c r="A31" t="s">
        <v>93</v>
      </c>
      <c r="B31" s="42">
        <v>42185</v>
      </c>
      <c r="C31" s="6">
        <v>870</v>
      </c>
      <c r="D31" t="s">
        <v>91</v>
      </c>
      <c r="E31" t="s">
        <v>46</v>
      </c>
      <c r="F31" s="6">
        <v>145</v>
      </c>
      <c r="G31" s="5">
        <f t="shared" si="4"/>
        <v>42215</v>
      </c>
      <c r="H31" s="5">
        <f t="shared" si="5"/>
        <v>42185</v>
      </c>
      <c r="I31">
        <v>0</v>
      </c>
      <c r="J31">
        <v>36735</v>
      </c>
      <c r="K31" t="s">
        <v>229</v>
      </c>
      <c r="M31" t="s">
        <v>133</v>
      </c>
      <c r="N31" s="23" t="s">
        <v>47</v>
      </c>
      <c r="O31" s="25">
        <v>1001</v>
      </c>
      <c r="P31" s="23" t="s">
        <v>94</v>
      </c>
      <c r="Q31" s="23"/>
      <c r="R31" s="26" t="s">
        <v>50</v>
      </c>
      <c r="S31" s="23"/>
      <c r="T31" s="26" t="s">
        <v>50</v>
      </c>
      <c r="U31" s="27" t="s">
        <v>95</v>
      </c>
      <c r="V31" s="40">
        <f t="shared" si="0"/>
        <v>145</v>
      </c>
      <c r="W31" s="40">
        <f t="shared" si="1"/>
        <v>725</v>
      </c>
      <c r="X31" s="23" t="s">
        <v>92</v>
      </c>
      <c r="Y31" s="26" t="s">
        <v>50</v>
      </c>
      <c r="Z31" s="23"/>
      <c r="AA31" s="26" t="s">
        <v>50</v>
      </c>
      <c r="AB31" s="41">
        <f t="shared" si="2"/>
        <v>725</v>
      </c>
      <c r="AC31" s="23">
        <v>1</v>
      </c>
      <c r="AD31" s="23" t="s">
        <v>97</v>
      </c>
      <c r="AE31" s="24">
        <v>42277</v>
      </c>
      <c r="AF31" s="23" t="s">
        <v>92</v>
      </c>
      <c r="AG31" s="23">
        <f t="shared" si="3"/>
        <v>36735</v>
      </c>
      <c r="AH31" s="23"/>
      <c r="AI31" s="27" t="str">
        <f t="shared" si="6"/>
        <v>P20</v>
      </c>
      <c r="AJ31" s="23"/>
      <c r="AK31" s="23"/>
      <c r="AL31" s="26" t="s">
        <v>50</v>
      </c>
      <c r="AM31" s="28" t="s">
        <v>58</v>
      </c>
    </row>
    <row r="32" spans="1:39" x14ac:dyDescent="0.3">
      <c r="A32" t="s">
        <v>93</v>
      </c>
      <c r="B32" s="32">
        <v>42185</v>
      </c>
      <c r="C32" s="6">
        <v>870</v>
      </c>
      <c r="D32" t="s">
        <v>91</v>
      </c>
      <c r="E32" t="s">
        <v>46</v>
      </c>
      <c r="F32" s="6">
        <v>145</v>
      </c>
      <c r="G32" s="5">
        <f t="shared" si="4"/>
        <v>42215</v>
      </c>
      <c r="H32" s="5">
        <f t="shared" si="5"/>
        <v>42185</v>
      </c>
      <c r="I32">
        <v>0</v>
      </c>
      <c r="J32">
        <v>36736</v>
      </c>
      <c r="K32" t="s">
        <v>229</v>
      </c>
      <c r="M32" t="s">
        <v>134</v>
      </c>
      <c r="N32" s="23" t="s">
        <v>47</v>
      </c>
      <c r="O32" s="25">
        <v>1001</v>
      </c>
      <c r="P32" s="23" t="s">
        <v>94</v>
      </c>
      <c r="Q32" s="23"/>
      <c r="R32" s="26" t="s">
        <v>50</v>
      </c>
      <c r="S32" s="23"/>
      <c r="T32" s="26" t="s">
        <v>50</v>
      </c>
      <c r="U32" s="27" t="s">
        <v>95</v>
      </c>
      <c r="V32" s="40">
        <f t="shared" si="0"/>
        <v>145</v>
      </c>
      <c r="W32" s="40">
        <f t="shared" si="1"/>
        <v>725</v>
      </c>
      <c r="X32" s="23" t="s">
        <v>92</v>
      </c>
      <c r="Y32" s="26" t="s">
        <v>50</v>
      </c>
      <c r="Z32" s="23"/>
      <c r="AA32" s="26" t="s">
        <v>50</v>
      </c>
      <c r="AB32" s="41">
        <f t="shared" si="2"/>
        <v>725</v>
      </c>
      <c r="AC32" s="23">
        <v>1</v>
      </c>
      <c r="AD32" s="23" t="s">
        <v>97</v>
      </c>
      <c r="AE32" s="24">
        <v>42277</v>
      </c>
      <c r="AF32" s="23" t="s">
        <v>92</v>
      </c>
      <c r="AG32" s="23">
        <f t="shared" si="3"/>
        <v>36736</v>
      </c>
      <c r="AH32" s="23"/>
      <c r="AI32" s="27" t="str">
        <f t="shared" si="6"/>
        <v>P20</v>
      </c>
      <c r="AJ32" s="23"/>
      <c r="AK32" s="23"/>
      <c r="AL32" s="26" t="s">
        <v>50</v>
      </c>
      <c r="AM32" s="28" t="s">
        <v>58</v>
      </c>
    </row>
    <row r="33" spans="1:39" x14ac:dyDescent="0.3">
      <c r="A33" t="s">
        <v>93</v>
      </c>
      <c r="B33" s="32">
        <v>42185</v>
      </c>
      <c r="C33" s="6">
        <v>870</v>
      </c>
      <c r="D33" t="s">
        <v>91</v>
      </c>
      <c r="E33" t="s">
        <v>46</v>
      </c>
      <c r="F33" s="6">
        <v>145</v>
      </c>
      <c r="G33" s="5">
        <f t="shared" si="4"/>
        <v>42215</v>
      </c>
      <c r="H33" s="5">
        <f t="shared" si="5"/>
        <v>42185</v>
      </c>
      <c r="I33">
        <v>0</v>
      </c>
      <c r="J33">
        <v>36778</v>
      </c>
      <c r="K33" t="s">
        <v>229</v>
      </c>
      <c r="M33" t="s">
        <v>135</v>
      </c>
      <c r="N33" s="23" t="s">
        <v>47</v>
      </c>
      <c r="O33" s="25">
        <v>1001</v>
      </c>
      <c r="P33" s="23" t="s">
        <v>94</v>
      </c>
      <c r="Q33" s="23"/>
      <c r="R33" s="26" t="s">
        <v>50</v>
      </c>
      <c r="S33" s="23"/>
      <c r="T33" s="26" t="s">
        <v>50</v>
      </c>
      <c r="U33" s="27" t="s">
        <v>95</v>
      </c>
      <c r="V33" s="40">
        <f t="shared" si="0"/>
        <v>145</v>
      </c>
      <c r="W33" s="40">
        <f t="shared" si="1"/>
        <v>725</v>
      </c>
      <c r="X33" s="23" t="s">
        <v>92</v>
      </c>
      <c r="Y33" s="26" t="s">
        <v>50</v>
      </c>
      <c r="Z33" s="23"/>
      <c r="AA33" s="26" t="s">
        <v>50</v>
      </c>
      <c r="AB33" s="41">
        <f t="shared" si="2"/>
        <v>725</v>
      </c>
      <c r="AC33" s="23">
        <v>1</v>
      </c>
      <c r="AD33" s="23" t="s">
        <v>97</v>
      </c>
      <c r="AE33" s="24">
        <v>42277</v>
      </c>
      <c r="AF33" s="23" t="s">
        <v>92</v>
      </c>
      <c r="AG33" s="23">
        <f t="shared" si="3"/>
        <v>36778</v>
      </c>
      <c r="AH33" s="23"/>
      <c r="AI33" s="27" t="str">
        <f t="shared" si="6"/>
        <v>P20</v>
      </c>
      <c r="AJ33" s="23"/>
      <c r="AK33" s="23"/>
      <c r="AL33" s="26" t="s">
        <v>50</v>
      </c>
      <c r="AM33" s="28" t="s">
        <v>58</v>
      </c>
    </row>
    <row r="34" spans="1:39" x14ac:dyDescent="0.3">
      <c r="A34" t="s">
        <v>93</v>
      </c>
      <c r="B34" s="32">
        <v>42083</v>
      </c>
      <c r="C34" s="6">
        <v>237.6</v>
      </c>
      <c r="D34" t="s">
        <v>91</v>
      </c>
      <c r="E34" t="s">
        <v>46</v>
      </c>
      <c r="F34" s="6">
        <v>39.6</v>
      </c>
      <c r="G34" s="5">
        <f t="shared" si="4"/>
        <v>42113</v>
      </c>
      <c r="H34" s="5">
        <f t="shared" si="5"/>
        <v>42083</v>
      </c>
      <c r="I34">
        <v>0</v>
      </c>
      <c r="J34">
        <v>29750</v>
      </c>
      <c r="K34" t="s">
        <v>229</v>
      </c>
      <c r="M34" t="s">
        <v>136</v>
      </c>
      <c r="N34" s="23" t="s">
        <v>47</v>
      </c>
      <c r="O34" s="25">
        <v>1001</v>
      </c>
      <c r="P34" s="23" t="s">
        <v>94</v>
      </c>
      <c r="Q34" s="23"/>
      <c r="R34" s="26" t="s">
        <v>50</v>
      </c>
      <c r="S34" s="23"/>
      <c r="T34" s="26" t="s">
        <v>50</v>
      </c>
      <c r="U34" s="27" t="s">
        <v>95</v>
      </c>
      <c r="V34" s="40">
        <f t="shared" si="0"/>
        <v>39.6</v>
      </c>
      <c r="W34" s="40">
        <f t="shared" si="1"/>
        <v>198</v>
      </c>
      <c r="X34" s="23" t="s">
        <v>92</v>
      </c>
      <c r="Y34" s="26" t="s">
        <v>50</v>
      </c>
      <c r="Z34" s="23"/>
      <c r="AA34" s="26" t="s">
        <v>50</v>
      </c>
      <c r="AB34" s="41">
        <f t="shared" si="2"/>
        <v>198</v>
      </c>
      <c r="AC34" s="23">
        <v>1</v>
      </c>
      <c r="AD34" s="23" t="s">
        <v>97</v>
      </c>
      <c r="AE34" s="24">
        <v>42277</v>
      </c>
      <c r="AF34" s="23" t="s">
        <v>92</v>
      </c>
      <c r="AG34" s="23">
        <f t="shared" si="3"/>
        <v>29750</v>
      </c>
      <c r="AH34" s="23"/>
      <c r="AI34" s="27" t="str">
        <f t="shared" si="6"/>
        <v>P20</v>
      </c>
      <c r="AJ34" s="23"/>
      <c r="AK34" s="23"/>
      <c r="AL34" s="26" t="s">
        <v>50</v>
      </c>
      <c r="AM34" s="28" t="s">
        <v>58</v>
      </c>
    </row>
    <row r="35" spans="1:39" x14ac:dyDescent="0.3">
      <c r="A35" t="s">
        <v>93</v>
      </c>
      <c r="B35" s="32">
        <v>42159</v>
      </c>
      <c r="C35" s="6">
        <v>266.39999999999998</v>
      </c>
      <c r="D35" t="s">
        <v>91</v>
      </c>
      <c r="E35" t="s">
        <v>46</v>
      </c>
      <c r="F35" s="6">
        <v>44.4</v>
      </c>
      <c r="G35" s="5">
        <f t="shared" si="4"/>
        <v>42189</v>
      </c>
      <c r="H35" s="5">
        <f t="shared" si="5"/>
        <v>42159</v>
      </c>
      <c r="I35">
        <v>0</v>
      </c>
      <c r="J35">
        <v>36412</v>
      </c>
      <c r="K35" t="s">
        <v>229</v>
      </c>
      <c r="M35" t="s">
        <v>137</v>
      </c>
      <c r="N35" s="23" t="s">
        <v>47</v>
      </c>
      <c r="O35" s="25">
        <v>1001</v>
      </c>
      <c r="P35" s="23" t="s">
        <v>94</v>
      </c>
      <c r="Q35" s="23"/>
      <c r="R35" s="26" t="s">
        <v>50</v>
      </c>
      <c r="S35" s="23"/>
      <c r="T35" s="26" t="s">
        <v>50</v>
      </c>
      <c r="U35" s="27" t="s">
        <v>95</v>
      </c>
      <c r="V35" s="40">
        <f t="shared" si="0"/>
        <v>44.4</v>
      </c>
      <c r="W35" s="40">
        <f t="shared" si="1"/>
        <v>221.99999999999997</v>
      </c>
      <c r="X35" s="23" t="s">
        <v>92</v>
      </c>
      <c r="Y35" s="26" t="s">
        <v>50</v>
      </c>
      <c r="Z35" s="23"/>
      <c r="AA35" s="26" t="s">
        <v>50</v>
      </c>
      <c r="AB35" s="41">
        <f t="shared" si="2"/>
        <v>221.99999999999997</v>
      </c>
      <c r="AC35" s="23">
        <v>1</v>
      </c>
      <c r="AD35" s="23" t="s">
        <v>97</v>
      </c>
      <c r="AE35" s="24">
        <v>42277</v>
      </c>
      <c r="AF35" s="23" t="s">
        <v>92</v>
      </c>
      <c r="AG35" s="23">
        <f t="shared" si="3"/>
        <v>36412</v>
      </c>
      <c r="AH35" s="23"/>
      <c r="AI35" s="27" t="str">
        <f t="shared" si="6"/>
        <v>P20</v>
      </c>
      <c r="AJ35" s="23"/>
      <c r="AK35" s="23"/>
      <c r="AL35" s="26" t="s">
        <v>50</v>
      </c>
      <c r="AM35" s="28" t="s">
        <v>58</v>
      </c>
    </row>
    <row r="36" spans="1:39" x14ac:dyDescent="0.3">
      <c r="A36" t="s">
        <v>93</v>
      </c>
      <c r="B36" s="32">
        <v>42159</v>
      </c>
      <c r="C36" s="6">
        <v>1606.05</v>
      </c>
      <c r="D36" t="s">
        <v>91</v>
      </c>
      <c r="E36" t="s">
        <v>46</v>
      </c>
      <c r="F36" s="6">
        <v>267.68</v>
      </c>
      <c r="G36" s="5">
        <f t="shared" si="4"/>
        <v>42189</v>
      </c>
      <c r="H36" s="5">
        <f t="shared" si="5"/>
        <v>42159</v>
      </c>
      <c r="I36">
        <v>0</v>
      </c>
      <c r="J36">
        <v>36413</v>
      </c>
      <c r="K36" t="s">
        <v>229</v>
      </c>
      <c r="M36" t="s">
        <v>138</v>
      </c>
      <c r="N36" s="23" t="s">
        <v>47</v>
      </c>
      <c r="O36" s="25">
        <v>1001</v>
      </c>
      <c r="P36" s="23" t="s">
        <v>94</v>
      </c>
      <c r="Q36" s="23"/>
      <c r="R36" s="26" t="s">
        <v>50</v>
      </c>
      <c r="S36" s="23"/>
      <c r="T36" s="26" t="s">
        <v>50</v>
      </c>
      <c r="U36" s="27" t="s">
        <v>95</v>
      </c>
      <c r="V36" s="40">
        <f t="shared" si="0"/>
        <v>267.68</v>
      </c>
      <c r="W36" s="40">
        <f t="shared" si="1"/>
        <v>1338.37</v>
      </c>
      <c r="X36" s="23" t="s">
        <v>92</v>
      </c>
      <c r="Y36" s="26" t="s">
        <v>50</v>
      </c>
      <c r="Z36" s="23"/>
      <c r="AA36" s="26" t="s">
        <v>50</v>
      </c>
      <c r="AB36" s="41">
        <f t="shared" si="2"/>
        <v>1338.37</v>
      </c>
      <c r="AC36" s="23">
        <v>1</v>
      </c>
      <c r="AD36" s="23" t="s">
        <v>97</v>
      </c>
      <c r="AE36" s="24">
        <v>42277</v>
      </c>
      <c r="AF36" s="23" t="s">
        <v>92</v>
      </c>
      <c r="AG36" s="23">
        <f t="shared" si="3"/>
        <v>36413</v>
      </c>
      <c r="AH36" s="23"/>
      <c r="AI36" s="27" t="str">
        <f t="shared" si="6"/>
        <v>P20</v>
      </c>
      <c r="AJ36" s="23"/>
      <c r="AK36" s="23"/>
      <c r="AL36" s="26" t="s">
        <v>50</v>
      </c>
      <c r="AM36" s="28" t="s">
        <v>58</v>
      </c>
    </row>
    <row r="37" spans="1:39" x14ac:dyDescent="0.3">
      <c r="A37" t="s">
        <v>93</v>
      </c>
      <c r="B37" s="32">
        <v>42164</v>
      </c>
      <c r="C37" s="6">
        <v>3405.46</v>
      </c>
      <c r="D37" t="s">
        <v>91</v>
      </c>
      <c r="E37" t="s">
        <v>46</v>
      </c>
      <c r="F37" s="6">
        <v>567.58000000000004</v>
      </c>
      <c r="G37" s="5">
        <f t="shared" si="4"/>
        <v>42194</v>
      </c>
      <c r="H37" s="5">
        <f t="shared" si="5"/>
        <v>42164</v>
      </c>
      <c r="I37">
        <v>0</v>
      </c>
      <c r="J37">
        <v>36485</v>
      </c>
      <c r="K37" t="s">
        <v>229</v>
      </c>
      <c r="M37" t="s">
        <v>139</v>
      </c>
      <c r="N37" s="23" t="s">
        <v>47</v>
      </c>
      <c r="O37" s="25">
        <v>1001</v>
      </c>
      <c r="P37" s="23" t="s">
        <v>94</v>
      </c>
      <c r="Q37" s="23"/>
      <c r="R37" s="26" t="s">
        <v>50</v>
      </c>
      <c r="S37" s="23"/>
      <c r="T37" s="26" t="s">
        <v>50</v>
      </c>
      <c r="U37" s="27" t="s">
        <v>95</v>
      </c>
      <c r="V37" s="40">
        <f t="shared" si="0"/>
        <v>567.58000000000004</v>
      </c>
      <c r="W37" s="40">
        <f t="shared" si="1"/>
        <v>2837.88</v>
      </c>
      <c r="X37" s="23" t="s">
        <v>92</v>
      </c>
      <c r="Y37" s="26" t="s">
        <v>50</v>
      </c>
      <c r="Z37" s="23"/>
      <c r="AA37" s="26" t="s">
        <v>50</v>
      </c>
      <c r="AB37" s="41">
        <f t="shared" si="2"/>
        <v>2837.88</v>
      </c>
      <c r="AC37" s="23">
        <v>1</v>
      </c>
      <c r="AD37" s="23" t="s">
        <v>97</v>
      </c>
      <c r="AE37" s="24">
        <v>42277</v>
      </c>
      <c r="AF37" s="23" t="s">
        <v>92</v>
      </c>
      <c r="AG37" s="23">
        <f t="shared" si="3"/>
        <v>36485</v>
      </c>
      <c r="AH37" s="23"/>
      <c r="AI37" s="27" t="str">
        <f t="shared" si="6"/>
        <v>P20</v>
      </c>
      <c r="AJ37" s="23"/>
      <c r="AK37" s="23"/>
      <c r="AL37" s="26" t="s">
        <v>50</v>
      </c>
      <c r="AM37" s="28" t="s">
        <v>58</v>
      </c>
    </row>
    <row r="38" spans="1:39" x14ac:dyDescent="0.3">
      <c r="A38" t="s">
        <v>93</v>
      </c>
      <c r="B38" s="32">
        <v>42166</v>
      </c>
      <c r="C38" s="6">
        <v>63</v>
      </c>
      <c r="D38" t="s">
        <v>91</v>
      </c>
      <c r="E38" t="s">
        <v>46</v>
      </c>
      <c r="F38" s="6">
        <v>10.5</v>
      </c>
      <c r="G38" s="5">
        <f t="shared" si="4"/>
        <v>42196</v>
      </c>
      <c r="H38" s="5">
        <f t="shared" si="5"/>
        <v>42166</v>
      </c>
      <c r="I38">
        <v>0</v>
      </c>
      <c r="J38">
        <v>36536</v>
      </c>
      <c r="K38" t="s">
        <v>229</v>
      </c>
      <c r="M38" t="s">
        <v>140</v>
      </c>
      <c r="N38" s="23" t="s">
        <v>47</v>
      </c>
      <c r="O38" s="25">
        <v>1001</v>
      </c>
      <c r="P38" s="23" t="s">
        <v>94</v>
      </c>
      <c r="Q38" s="23"/>
      <c r="R38" s="26" t="s">
        <v>50</v>
      </c>
      <c r="S38" s="23"/>
      <c r="T38" s="26" t="s">
        <v>50</v>
      </c>
      <c r="U38" s="27" t="s">
        <v>95</v>
      </c>
      <c r="V38" s="40">
        <f t="shared" si="0"/>
        <v>10.5</v>
      </c>
      <c r="W38" s="40">
        <f t="shared" si="1"/>
        <v>52.5</v>
      </c>
      <c r="X38" s="23" t="s">
        <v>92</v>
      </c>
      <c r="Y38" s="26" t="s">
        <v>50</v>
      </c>
      <c r="Z38" s="23"/>
      <c r="AA38" s="26" t="s">
        <v>50</v>
      </c>
      <c r="AB38" s="41">
        <f t="shared" si="2"/>
        <v>52.5</v>
      </c>
      <c r="AC38" s="23">
        <v>1</v>
      </c>
      <c r="AD38" s="23" t="s">
        <v>97</v>
      </c>
      <c r="AE38" s="24">
        <v>42277</v>
      </c>
      <c r="AF38" s="23" t="s">
        <v>92</v>
      </c>
      <c r="AG38" s="23">
        <f t="shared" si="3"/>
        <v>36536</v>
      </c>
      <c r="AH38" s="23"/>
      <c r="AI38" s="27" t="str">
        <f t="shared" si="6"/>
        <v>P20</v>
      </c>
      <c r="AJ38" s="23"/>
      <c r="AK38" s="23"/>
      <c r="AL38" s="26" t="s">
        <v>50</v>
      </c>
      <c r="AM38" s="28" t="s">
        <v>58</v>
      </c>
    </row>
    <row r="39" spans="1:39" x14ac:dyDescent="0.3">
      <c r="A39" t="s">
        <v>93</v>
      </c>
      <c r="B39" s="32">
        <v>42163</v>
      </c>
      <c r="C39" s="6">
        <v>682.56</v>
      </c>
      <c r="D39" t="s">
        <v>91</v>
      </c>
      <c r="E39" t="s">
        <v>46</v>
      </c>
      <c r="F39" s="6">
        <v>113.76</v>
      </c>
      <c r="G39" s="5">
        <f t="shared" si="4"/>
        <v>42193</v>
      </c>
      <c r="H39" s="5">
        <f t="shared" si="5"/>
        <v>42163</v>
      </c>
      <c r="I39">
        <v>0</v>
      </c>
      <c r="J39">
        <v>36478</v>
      </c>
      <c r="K39" t="s">
        <v>229</v>
      </c>
      <c r="M39" t="s">
        <v>141</v>
      </c>
      <c r="N39" s="23" t="s">
        <v>47</v>
      </c>
      <c r="O39" s="25">
        <v>1001</v>
      </c>
      <c r="P39" s="23" t="s">
        <v>94</v>
      </c>
      <c r="Q39" s="23"/>
      <c r="R39" s="26" t="s">
        <v>50</v>
      </c>
      <c r="S39" s="23"/>
      <c r="T39" s="26" t="s">
        <v>50</v>
      </c>
      <c r="U39" s="27" t="s">
        <v>95</v>
      </c>
      <c r="V39" s="40">
        <f t="shared" si="0"/>
        <v>113.76</v>
      </c>
      <c r="W39" s="40">
        <f t="shared" si="1"/>
        <v>568.79999999999995</v>
      </c>
      <c r="X39" s="23" t="s">
        <v>92</v>
      </c>
      <c r="Y39" s="26" t="s">
        <v>50</v>
      </c>
      <c r="Z39" s="23"/>
      <c r="AA39" s="26" t="s">
        <v>50</v>
      </c>
      <c r="AB39" s="41">
        <f t="shared" si="2"/>
        <v>568.79999999999995</v>
      </c>
      <c r="AC39" s="23">
        <v>1</v>
      </c>
      <c r="AD39" s="23" t="s">
        <v>97</v>
      </c>
      <c r="AE39" s="24">
        <v>42277</v>
      </c>
      <c r="AF39" s="23" t="s">
        <v>92</v>
      </c>
      <c r="AG39" s="23">
        <f t="shared" si="3"/>
        <v>36478</v>
      </c>
      <c r="AH39" s="23"/>
      <c r="AI39" s="27" t="str">
        <f t="shared" si="6"/>
        <v>P20</v>
      </c>
      <c r="AJ39" s="23"/>
      <c r="AK39" s="23"/>
      <c r="AL39" s="26" t="s">
        <v>50</v>
      </c>
      <c r="AM39" s="28" t="s">
        <v>58</v>
      </c>
    </row>
    <row r="40" spans="1:39" x14ac:dyDescent="0.3">
      <c r="A40" t="s">
        <v>93</v>
      </c>
      <c r="B40" s="32">
        <v>42171</v>
      </c>
      <c r="C40" s="6">
        <v>149.64000000000001</v>
      </c>
      <c r="D40" t="s">
        <v>91</v>
      </c>
      <c r="E40" t="s">
        <v>46</v>
      </c>
      <c r="F40" s="6">
        <v>24.94</v>
      </c>
      <c r="G40" s="5">
        <f t="shared" si="4"/>
        <v>42201</v>
      </c>
      <c r="H40" s="5">
        <f t="shared" si="5"/>
        <v>42171</v>
      </c>
      <c r="I40">
        <v>0</v>
      </c>
      <c r="J40">
        <v>36626</v>
      </c>
      <c r="K40" t="s">
        <v>229</v>
      </c>
      <c r="M40" t="s">
        <v>142</v>
      </c>
      <c r="N40" s="23" t="s">
        <v>47</v>
      </c>
      <c r="O40" s="25">
        <v>1001</v>
      </c>
      <c r="P40" s="23" t="s">
        <v>94</v>
      </c>
      <c r="Q40" s="23"/>
      <c r="R40" s="26" t="s">
        <v>50</v>
      </c>
      <c r="S40" s="23"/>
      <c r="T40" s="26" t="s">
        <v>50</v>
      </c>
      <c r="U40" s="27" t="s">
        <v>95</v>
      </c>
      <c r="V40" s="40">
        <f t="shared" si="0"/>
        <v>24.94</v>
      </c>
      <c r="W40" s="40">
        <f t="shared" si="1"/>
        <v>124.70000000000002</v>
      </c>
      <c r="X40" s="23" t="s">
        <v>92</v>
      </c>
      <c r="Y40" s="26" t="s">
        <v>50</v>
      </c>
      <c r="Z40" s="23"/>
      <c r="AA40" s="26" t="s">
        <v>50</v>
      </c>
      <c r="AB40" s="41">
        <f t="shared" si="2"/>
        <v>124.70000000000002</v>
      </c>
      <c r="AC40" s="23">
        <v>1</v>
      </c>
      <c r="AD40" s="23" t="s">
        <v>97</v>
      </c>
      <c r="AE40" s="24">
        <v>42277</v>
      </c>
      <c r="AF40" s="23" t="s">
        <v>92</v>
      </c>
      <c r="AG40" s="23">
        <f t="shared" si="3"/>
        <v>36626</v>
      </c>
      <c r="AH40" s="23"/>
      <c r="AI40" s="27" t="str">
        <f t="shared" si="6"/>
        <v>P20</v>
      </c>
      <c r="AJ40" s="23"/>
      <c r="AK40" s="23"/>
      <c r="AL40" s="26" t="s">
        <v>50</v>
      </c>
      <c r="AM40" s="28" t="s">
        <v>58</v>
      </c>
    </row>
    <row r="41" spans="1:39" x14ac:dyDescent="0.3">
      <c r="A41" t="s">
        <v>93</v>
      </c>
      <c r="B41" s="32">
        <v>42177</v>
      </c>
      <c r="C41" s="6">
        <v>193.2</v>
      </c>
      <c r="D41" t="s">
        <v>91</v>
      </c>
      <c r="E41" t="s">
        <v>46</v>
      </c>
      <c r="F41" s="6">
        <v>32.200000000000003</v>
      </c>
      <c r="G41" s="5">
        <f t="shared" si="4"/>
        <v>42207</v>
      </c>
      <c r="H41" s="5">
        <f t="shared" si="5"/>
        <v>42177</v>
      </c>
      <c r="I41">
        <v>0</v>
      </c>
      <c r="J41">
        <v>36619</v>
      </c>
      <c r="K41" t="s">
        <v>229</v>
      </c>
      <c r="M41" t="s">
        <v>143</v>
      </c>
      <c r="N41" s="23" t="s">
        <v>47</v>
      </c>
      <c r="O41" s="25">
        <v>1001</v>
      </c>
      <c r="P41" s="23" t="s">
        <v>94</v>
      </c>
      <c r="Q41" s="23"/>
      <c r="R41" s="26" t="s">
        <v>50</v>
      </c>
      <c r="S41" s="23"/>
      <c r="T41" s="26" t="s">
        <v>50</v>
      </c>
      <c r="U41" s="27" t="s">
        <v>95</v>
      </c>
      <c r="V41" s="40">
        <f t="shared" si="0"/>
        <v>32.200000000000003</v>
      </c>
      <c r="W41" s="40">
        <f t="shared" si="1"/>
        <v>161</v>
      </c>
      <c r="X41" s="23" t="s">
        <v>92</v>
      </c>
      <c r="Y41" s="26" t="s">
        <v>50</v>
      </c>
      <c r="Z41" s="23"/>
      <c r="AA41" s="26" t="s">
        <v>50</v>
      </c>
      <c r="AB41" s="41">
        <f t="shared" si="2"/>
        <v>161</v>
      </c>
      <c r="AC41" s="23">
        <v>1</v>
      </c>
      <c r="AD41" s="23" t="s">
        <v>97</v>
      </c>
      <c r="AE41" s="24">
        <v>42277</v>
      </c>
      <c r="AF41" s="23" t="s">
        <v>92</v>
      </c>
      <c r="AG41" s="23">
        <f t="shared" si="3"/>
        <v>36619</v>
      </c>
      <c r="AH41" s="23"/>
      <c r="AI41" s="27" t="str">
        <f t="shared" si="6"/>
        <v>P20</v>
      </c>
      <c r="AJ41" s="23"/>
      <c r="AK41" s="23"/>
      <c r="AL41" s="26" t="s">
        <v>50</v>
      </c>
      <c r="AM41" s="28" t="s">
        <v>58</v>
      </c>
    </row>
    <row r="42" spans="1:39" x14ac:dyDescent="0.3">
      <c r="A42" t="s">
        <v>93</v>
      </c>
      <c r="B42" s="32">
        <v>42156</v>
      </c>
      <c r="C42" s="6">
        <v>5425.1200000000008</v>
      </c>
      <c r="D42" t="s">
        <v>91</v>
      </c>
      <c r="E42" t="s">
        <v>46</v>
      </c>
      <c r="F42" s="6">
        <v>904.19</v>
      </c>
      <c r="G42" s="5">
        <f t="shared" si="4"/>
        <v>42186</v>
      </c>
      <c r="H42" s="5">
        <f t="shared" si="5"/>
        <v>42156</v>
      </c>
      <c r="I42">
        <v>0</v>
      </c>
      <c r="J42">
        <v>37646</v>
      </c>
      <c r="K42" t="s">
        <v>229</v>
      </c>
      <c r="M42" t="s">
        <v>144</v>
      </c>
      <c r="N42" s="23" t="s">
        <v>47</v>
      </c>
      <c r="O42" s="25">
        <v>1001</v>
      </c>
      <c r="P42" s="23" t="s">
        <v>94</v>
      </c>
      <c r="Q42" s="23"/>
      <c r="R42" s="26" t="s">
        <v>50</v>
      </c>
      <c r="S42" s="23"/>
      <c r="T42" s="26" t="s">
        <v>50</v>
      </c>
      <c r="U42" s="27" t="s">
        <v>95</v>
      </c>
      <c r="V42" s="40">
        <f t="shared" si="0"/>
        <v>904.19</v>
      </c>
      <c r="W42" s="40">
        <f t="shared" si="1"/>
        <v>4520.93</v>
      </c>
      <c r="X42" s="23" t="s">
        <v>92</v>
      </c>
      <c r="Y42" s="26" t="s">
        <v>50</v>
      </c>
      <c r="Z42" s="23"/>
      <c r="AA42" s="26" t="s">
        <v>50</v>
      </c>
      <c r="AB42" s="41">
        <f t="shared" si="2"/>
        <v>4520.93</v>
      </c>
      <c r="AC42" s="23">
        <v>1</v>
      </c>
      <c r="AD42" s="23" t="s">
        <v>97</v>
      </c>
      <c r="AE42" s="24">
        <v>42277</v>
      </c>
      <c r="AF42" s="23" t="s">
        <v>92</v>
      </c>
      <c r="AG42" s="23">
        <f t="shared" si="3"/>
        <v>37646</v>
      </c>
      <c r="AH42" s="23"/>
      <c r="AI42" s="27" t="str">
        <f t="shared" si="6"/>
        <v>P20</v>
      </c>
      <c r="AJ42" s="23"/>
      <c r="AK42" s="23"/>
      <c r="AL42" s="26" t="s">
        <v>50</v>
      </c>
      <c r="AM42" s="28" t="s">
        <v>58</v>
      </c>
    </row>
    <row r="43" spans="1:39" x14ac:dyDescent="0.3">
      <c r="A43" t="s">
        <v>93</v>
      </c>
      <c r="B43" s="32">
        <v>42180</v>
      </c>
      <c r="C43" s="6">
        <v>3278.39</v>
      </c>
      <c r="D43" t="s">
        <v>91</v>
      </c>
      <c r="E43" t="s">
        <v>46</v>
      </c>
      <c r="F43" s="6">
        <v>546.4</v>
      </c>
      <c r="G43" s="5">
        <f t="shared" si="4"/>
        <v>42210</v>
      </c>
      <c r="H43" s="5">
        <f t="shared" si="5"/>
        <v>42180</v>
      </c>
      <c r="I43">
        <v>0</v>
      </c>
      <c r="J43">
        <v>37647</v>
      </c>
      <c r="K43" t="s">
        <v>229</v>
      </c>
      <c r="M43" t="s">
        <v>145</v>
      </c>
      <c r="N43" s="23" t="s">
        <v>47</v>
      </c>
      <c r="O43" s="25">
        <v>1001</v>
      </c>
      <c r="P43" s="23" t="s">
        <v>94</v>
      </c>
      <c r="Q43" s="23"/>
      <c r="R43" s="26" t="s">
        <v>50</v>
      </c>
      <c r="S43" s="23"/>
      <c r="T43" s="26" t="s">
        <v>50</v>
      </c>
      <c r="U43" s="27" t="s">
        <v>95</v>
      </c>
      <c r="V43" s="40">
        <f t="shared" si="0"/>
        <v>546.4</v>
      </c>
      <c r="W43" s="40">
        <f t="shared" si="1"/>
        <v>2731.99</v>
      </c>
      <c r="X43" s="23" t="s">
        <v>92</v>
      </c>
      <c r="Y43" s="26" t="s">
        <v>50</v>
      </c>
      <c r="Z43" s="23"/>
      <c r="AA43" s="26" t="s">
        <v>50</v>
      </c>
      <c r="AB43" s="41">
        <f t="shared" si="2"/>
        <v>2731.99</v>
      </c>
      <c r="AC43" s="23">
        <v>1</v>
      </c>
      <c r="AD43" s="23" t="s">
        <v>97</v>
      </c>
      <c r="AE43" s="24">
        <v>42277</v>
      </c>
      <c r="AF43" s="23" t="s">
        <v>92</v>
      </c>
      <c r="AG43" s="23">
        <f t="shared" si="3"/>
        <v>37647</v>
      </c>
      <c r="AH43" s="23"/>
      <c r="AI43" s="27" t="str">
        <f t="shared" si="6"/>
        <v>P20</v>
      </c>
      <c r="AJ43" s="23"/>
      <c r="AK43" s="23"/>
      <c r="AL43" s="26" t="s">
        <v>50</v>
      </c>
      <c r="AM43" s="28" t="s">
        <v>58</v>
      </c>
    </row>
    <row r="44" spans="1:39" x14ac:dyDescent="0.3">
      <c r="A44" t="s">
        <v>93</v>
      </c>
      <c r="B44" s="32">
        <v>42159</v>
      </c>
      <c r="C44" s="6">
        <v>689.43999999999994</v>
      </c>
      <c r="D44" t="s">
        <v>91</v>
      </c>
      <c r="E44" t="s">
        <v>46</v>
      </c>
      <c r="F44" s="6">
        <v>114.91</v>
      </c>
      <c r="G44" s="5">
        <f t="shared" si="4"/>
        <v>42189</v>
      </c>
      <c r="H44" s="5">
        <f t="shared" si="5"/>
        <v>42159</v>
      </c>
      <c r="I44">
        <v>0</v>
      </c>
      <c r="J44">
        <v>36411</v>
      </c>
      <c r="K44" t="s">
        <v>229</v>
      </c>
      <c r="M44" t="s">
        <v>146</v>
      </c>
      <c r="N44" s="23" t="s">
        <v>47</v>
      </c>
      <c r="O44" s="25">
        <v>1001</v>
      </c>
      <c r="P44" s="23" t="s">
        <v>94</v>
      </c>
      <c r="Q44" s="23"/>
      <c r="R44" s="26" t="s">
        <v>50</v>
      </c>
      <c r="S44" s="23"/>
      <c r="T44" s="26" t="s">
        <v>50</v>
      </c>
      <c r="U44" s="27" t="s">
        <v>95</v>
      </c>
      <c r="V44" s="40">
        <f t="shared" si="0"/>
        <v>114.91</v>
      </c>
      <c r="W44" s="40">
        <f t="shared" si="1"/>
        <v>574.53</v>
      </c>
      <c r="X44" s="23" t="s">
        <v>92</v>
      </c>
      <c r="Y44" s="26" t="s">
        <v>50</v>
      </c>
      <c r="Z44" s="23"/>
      <c r="AA44" s="26" t="s">
        <v>50</v>
      </c>
      <c r="AB44" s="41">
        <f t="shared" si="2"/>
        <v>574.53</v>
      </c>
      <c r="AC44" s="23">
        <v>1</v>
      </c>
      <c r="AD44" s="23" t="s">
        <v>97</v>
      </c>
      <c r="AE44" s="24">
        <v>42277</v>
      </c>
      <c r="AF44" s="23" t="s">
        <v>92</v>
      </c>
      <c r="AG44" s="23">
        <f t="shared" si="3"/>
        <v>36411</v>
      </c>
      <c r="AH44" s="23"/>
      <c r="AI44" s="27" t="str">
        <f t="shared" si="6"/>
        <v>P20</v>
      </c>
      <c r="AJ44" s="23"/>
      <c r="AK44" s="23"/>
      <c r="AL44" s="26" t="s">
        <v>50</v>
      </c>
      <c r="AM44" s="28" t="s">
        <v>58</v>
      </c>
    </row>
    <row r="45" spans="1:39" x14ac:dyDescent="0.3">
      <c r="A45" t="s">
        <v>93</v>
      </c>
      <c r="B45" s="32">
        <v>42159</v>
      </c>
      <c r="C45" s="6">
        <v>233.28</v>
      </c>
      <c r="D45" t="s">
        <v>91</v>
      </c>
      <c r="E45" t="s">
        <v>46</v>
      </c>
      <c r="F45" s="6">
        <v>38.880000000000003</v>
      </c>
      <c r="G45" s="5">
        <f t="shared" si="4"/>
        <v>42189</v>
      </c>
      <c r="H45" s="5">
        <f t="shared" si="5"/>
        <v>42159</v>
      </c>
      <c r="I45">
        <v>0</v>
      </c>
      <c r="J45">
        <v>36414</v>
      </c>
      <c r="K45" t="s">
        <v>229</v>
      </c>
      <c r="M45" t="s">
        <v>147</v>
      </c>
      <c r="N45" s="23" t="s">
        <v>47</v>
      </c>
      <c r="O45" s="25">
        <v>1001</v>
      </c>
      <c r="P45" s="23" t="s">
        <v>94</v>
      </c>
      <c r="Q45" s="23"/>
      <c r="R45" s="26" t="s">
        <v>50</v>
      </c>
      <c r="S45" s="23"/>
      <c r="T45" s="26" t="s">
        <v>50</v>
      </c>
      <c r="U45" s="27" t="s">
        <v>95</v>
      </c>
      <c r="V45" s="40">
        <f t="shared" si="0"/>
        <v>38.880000000000003</v>
      </c>
      <c r="W45" s="40">
        <f t="shared" si="1"/>
        <v>194.4</v>
      </c>
      <c r="X45" s="23" t="s">
        <v>92</v>
      </c>
      <c r="Y45" s="26" t="s">
        <v>50</v>
      </c>
      <c r="Z45" s="23"/>
      <c r="AA45" s="26" t="s">
        <v>50</v>
      </c>
      <c r="AB45" s="41">
        <f t="shared" si="2"/>
        <v>194.4</v>
      </c>
      <c r="AC45" s="23">
        <v>1</v>
      </c>
      <c r="AD45" s="23" t="s">
        <v>97</v>
      </c>
      <c r="AE45" s="24">
        <v>42277</v>
      </c>
      <c r="AF45" s="23" t="s">
        <v>92</v>
      </c>
      <c r="AG45" s="23">
        <f t="shared" si="3"/>
        <v>36414</v>
      </c>
      <c r="AH45" s="23"/>
      <c r="AI45" s="27" t="str">
        <f t="shared" si="6"/>
        <v>P20</v>
      </c>
      <c r="AJ45" s="23"/>
      <c r="AK45" s="23"/>
      <c r="AL45" s="26" t="s">
        <v>50</v>
      </c>
      <c r="AM45" s="28" t="s">
        <v>58</v>
      </c>
    </row>
    <row r="46" spans="1:39" x14ac:dyDescent="0.3">
      <c r="A46" t="s">
        <v>93</v>
      </c>
      <c r="B46" s="32">
        <v>42173</v>
      </c>
      <c r="C46" s="6">
        <v>313.2</v>
      </c>
      <c r="D46" t="s">
        <v>91</v>
      </c>
      <c r="E46" t="s">
        <v>46</v>
      </c>
      <c r="F46" s="6">
        <v>52.2</v>
      </c>
      <c r="G46" s="5">
        <f t="shared" si="4"/>
        <v>42203</v>
      </c>
      <c r="H46" s="5">
        <f t="shared" si="5"/>
        <v>42173</v>
      </c>
      <c r="I46">
        <v>0</v>
      </c>
      <c r="J46">
        <v>36637</v>
      </c>
      <c r="K46" t="s">
        <v>229</v>
      </c>
      <c r="M46" t="s">
        <v>148</v>
      </c>
      <c r="N46" s="23" t="s">
        <v>47</v>
      </c>
      <c r="O46" s="25">
        <v>1001</v>
      </c>
      <c r="P46" s="23" t="s">
        <v>94</v>
      </c>
      <c r="Q46" s="23"/>
      <c r="R46" s="26" t="s">
        <v>50</v>
      </c>
      <c r="S46" s="23"/>
      <c r="T46" s="26" t="s">
        <v>50</v>
      </c>
      <c r="U46" s="27" t="s">
        <v>95</v>
      </c>
      <c r="V46" s="40">
        <f t="shared" si="0"/>
        <v>52.2</v>
      </c>
      <c r="W46" s="40">
        <f t="shared" si="1"/>
        <v>261</v>
      </c>
      <c r="X46" s="23" t="s">
        <v>92</v>
      </c>
      <c r="Y46" s="26" t="s">
        <v>50</v>
      </c>
      <c r="Z46" s="23"/>
      <c r="AA46" s="26" t="s">
        <v>50</v>
      </c>
      <c r="AB46" s="41">
        <f t="shared" si="2"/>
        <v>261</v>
      </c>
      <c r="AC46" s="23">
        <v>1</v>
      </c>
      <c r="AD46" s="23" t="s">
        <v>97</v>
      </c>
      <c r="AE46" s="24">
        <v>42277</v>
      </c>
      <c r="AF46" s="23" t="s">
        <v>92</v>
      </c>
      <c r="AG46" s="23">
        <f t="shared" si="3"/>
        <v>36637</v>
      </c>
      <c r="AH46" s="23"/>
      <c r="AI46" s="27" t="str">
        <f t="shared" si="6"/>
        <v>P20</v>
      </c>
      <c r="AJ46" s="23"/>
      <c r="AK46" s="23"/>
      <c r="AL46" s="26" t="s">
        <v>50</v>
      </c>
      <c r="AM46" s="28" t="s">
        <v>58</v>
      </c>
    </row>
    <row r="47" spans="1:39" x14ac:dyDescent="0.3">
      <c r="A47" t="s">
        <v>93</v>
      </c>
      <c r="B47" s="32">
        <v>42173</v>
      </c>
      <c r="C47" s="6">
        <v>840.99</v>
      </c>
      <c r="D47" t="s">
        <v>91</v>
      </c>
      <c r="E47" t="s">
        <v>46</v>
      </c>
      <c r="F47" s="6">
        <v>140.16</v>
      </c>
      <c r="G47" s="5">
        <f t="shared" si="4"/>
        <v>42203</v>
      </c>
      <c r="H47" s="5">
        <f t="shared" si="5"/>
        <v>42173</v>
      </c>
      <c r="I47">
        <v>0</v>
      </c>
      <c r="J47">
        <v>36638</v>
      </c>
      <c r="K47" t="s">
        <v>229</v>
      </c>
      <c r="M47" t="s">
        <v>149</v>
      </c>
      <c r="N47" s="23" t="s">
        <v>47</v>
      </c>
      <c r="O47" s="25">
        <v>1001</v>
      </c>
      <c r="P47" s="23" t="s">
        <v>94</v>
      </c>
      <c r="Q47" s="23"/>
      <c r="R47" s="26" t="s">
        <v>50</v>
      </c>
      <c r="S47" s="23"/>
      <c r="T47" s="26" t="s">
        <v>50</v>
      </c>
      <c r="U47" s="27" t="s">
        <v>95</v>
      </c>
      <c r="V47" s="40">
        <f t="shared" si="0"/>
        <v>140.16</v>
      </c>
      <c r="W47" s="40">
        <f t="shared" si="1"/>
        <v>700.83</v>
      </c>
      <c r="X47" s="23" t="s">
        <v>92</v>
      </c>
      <c r="Y47" s="26" t="s">
        <v>50</v>
      </c>
      <c r="Z47" s="23"/>
      <c r="AA47" s="26" t="s">
        <v>50</v>
      </c>
      <c r="AB47" s="41">
        <f t="shared" si="2"/>
        <v>700.83</v>
      </c>
      <c r="AC47" s="23">
        <v>1</v>
      </c>
      <c r="AD47" s="23" t="s">
        <v>97</v>
      </c>
      <c r="AE47" s="24">
        <v>42277</v>
      </c>
      <c r="AF47" s="23" t="s">
        <v>92</v>
      </c>
      <c r="AG47" s="23">
        <f t="shared" si="3"/>
        <v>36638</v>
      </c>
      <c r="AH47" s="23"/>
      <c r="AI47" s="27" t="str">
        <f t="shared" si="6"/>
        <v>P20</v>
      </c>
      <c r="AJ47" s="23"/>
      <c r="AK47" s="23"/>
      <c r="AL47" s="26" t="s">
        <v>50</v>
      </c>
      <c r="AM47" s="28" t="s">
        <v>58</v>
      </c>
    </row>
    <row r="48" spans="1:39" x14ac:dyDescent="0.3">
      <c r="A48" t="s">
        <v>93</v>
      </c>
      <c r="B48" s="32">
        <v>42174</v>
      </c>
      <c r="C48" s="6">
        <v>99.580000000000013</v>
      </c>
      <c r="D48" t="s">
        <v>91</v>
      </c>
      <c r="E48" t="s">
        <v>46</v>
      </c>
      <c r="F48" s="6">
        <v>16.600000000000001</v>
      </c>
      <c r="G48" s="5">
        <f t="shared" si="4"/>
        <v>42204</v>
      </c>
      <c r="H48" s="5">
        <f t="shared" si="5"/>
        <v>42174</v>
      </c>
      <c r="I48">
        <v>0</v>
      </c>
      <c r="J48">
        <v>36642</v>
      </c>
      <c r="K48" t="s">
        <v>229</v>
      </c>
      <c r="M48" t="s">
        <v>150</v>
      </c>
      <c r="N48" s="23" t="s">
        <v>47</v>
      </c>
      <c r="O48" s="25">
        <v>1001</v>
      </c>
      <c r="P48" s="23" t="s">
        <v>94</v>
      </c>
      <c r="Q48" s="23"/>
      <c r="R48" s="26" t="s">
        <v>50</v>
      </c>
      <c r="S48" s="23"/>
      <c r="T48" s="26" t="s">
        <v>50</v>
      </c>
      <c r="U48" s="27" t="s">
        <v>95</v>
      </c>
      <c r="V48" s="40">
        <f t="shared" si="0"/>
        <v>16.600000000000001</v>
      </c>
      <c r="W48" s="40">
        <f t="shared" si="1"/>
        <v>82.980000000000018</v>
      </c>
      <c r="X48" s="23" t="s">
        <v>92</v>
      </c>
      <c r="Y48" s="26" t="s">
        <v>50</v>
      </c>
      <c r="Z48" s="23"/>
      <c r="AA48" s="26" t="s">
        <v>50</v>
      </c>
      <c r="AB48" s="41">
        <f t="shared" si="2"/>
        <v>82.980000000000018</v>
      </c>
      <c r="AC48" s="23">
        <v>1</v>
      </c>
      <c r="AD48" s="23" t="s">
        <v>97</v>
      </c>
      <c r="AE48" s="24">
        <v>42277</v>
      </c>
      <c r="AF48" s="23" t="s">
        <v>92</v>
      </c>
      <c r="AG48" s="23">
        <f t="shared" si="3"/>
        <v>36642</v>
      </c>
      <c r="AH48" s="23"/>
      <c r="AI48" s="27" t="str">
        <f t="shared" si="6"/>
        <v>P20</v>
      </c>
      <c r="AJ48" s="23"/>
      <c r="AK48" s="23"/>
      <c r="AL48" s="26" t="s">
        <v>50</v>
      </c>
      <c r="AM48" s="28" t="s">
        <v>58</v>
      </c>
    </row>
    <row r="49" spans="1:39" x14ac:dyDescent="0.3">
      <c r="A49" t="s">
        <v>93</v>
      </c>
      <c r="B49" s="32">
        <v>42178</v>
      </c>
      <c r="C49" s="6">
        <v>319.5</v>
      </c>
      <c r="D49" t="s">
        <v>91</v>
      </c>
      <c r="E49" t="s">
        <v>46</v>
      </c>
      <c r="F49" s="6">
        <v>53.25</v>
      </c>
      <c r="G49" s="5">
        <f t="shared" si="4"/>
        <v>42208</v>
      </c>
      <c r="H49" s="5">
        <f t="shared" si="5"/>
        <v>42178</v>
      </c>
      <c r="I49">
        <v>0</v>
      </c>
      <c r="J49">
        <v>36675</v>
      </c>
      <c r="K49" t="s">
        <v>229</v>
      </c>
      <c r="M49" t="s">
        <v>151</v>
      </c>
      <c r="N49" s="23" t="s">
        <v>47</v>
      </c>
      <c r="O49" s="25">
        <v>1001</v>
      </c>
      <c r="P49" s="23" t="s">
        <v>94</v>
      </c>
      <c r="Q49" s="23"/>
      <c r="R49" s="26" t="s">
        <v>50</v>
      </c>
      <c r="S49" s="23"/>
      <c r="T49" s="26" t="s">
        <v>50</v>
      </c>
      <c r="U49" s="27" t="s">
        <v>95</v>
      </c>
      <c r="V49" s="40">
        <f t="shared" si="0"/>
        <v>53.25</v>
      </c>
      <c r="W49" s="40">
        <f t="shared" si="1"/>
        <v>266.25</v>
      </c>
      <c r="X49" s="23" t="s">
        <v>92</v>
      </c>
      <c r="Y49" s="26" t="s">
        <v>50</v>
      </c>
      <c r="Z49" s="23"/>
      <c r="AA49" s="26" t="s">
        <v>50</v>
      </c>
      <c r="AB49" s="41">
        <f t="shared" si="2"/>
        <v>266.25</v>
      </c>
      <c r="AC49" s="23">
        <v>1</v>
      </c>
      <c r="AD49" s="23" t="s">
        <v>97</v>
      </c>
      <c r="AE49" s="24">
        <v>42277</v>
      </c>
      <c r="AF49" s="23" t="s">
        <v>92</v>
      </c>
      <c r="AG49" s="23">
        <f t="shared" si="3"/>
        <v>36675</v>
      </c>
      <c r="AH49" s="23"/>
      <c r="AI49" s="27" t="str">
        <f t="shared" si="6"/>
        <v>P20</v>
      </c>
      <c r="AJ49" s="23"/>
      <c r="AK49" s="23"/>
      <c r="AL49" s="26" t="s">
        <v>50</v>
      </c>
      <c r="AM49" s="28" t="s">
        <v>58</v>
      </c>
    </row>
    <row r="50" spans="1:39" x14ac:dyDescent="0.3">
      <c r="A50" t="s">
        <v>93</v>
      </c>
      <c r="B50" s="32">
        <v>42178</v>
      </c>
      <c r="C50" s="6">
        <v>40.51</v>
      </c>
      <c r="D50" t="s">
        <v>91</v>
      </c>
      <c r="E50" t="s">
        <v>46</v>
      </c>
      <c r="F50" s="6">
        <v>6.75</v>
      </c>
      <c r="G50" s="5">
        <f t="shared" si="4"/>
        <v>42208</v>
      </c>
      <c r="H50" s="5">
        <f t="shared" si="5"/>
        <v>42178</v>
      </c>
      <c r="I50">
        <v>0</v>
      </c>
      <c r="J50">
        <v>36676</v>
      </c>
      <c r="K50" t="s">
        <v>229</v>
      </c>
      <c r="M50" t="s">
        <v>152</v>
      </c>
      <c r="N50" s="23" t="s">
        <v>47</v>
      </c>
      <c r="O50" s="25">
        <v>1001</v>
      </c>
      <c r="P50" s="23" t="s">
        <v>94</v>
      </c>
      <c r="Q50" s="23"/>
      <c r="R50" s="26" t="s">
        <v>50</v>
      </c>
      <c r="S50" s="23"/>
      <c r="T50" s="26" t="s">
        <v>50</v>
      </c>
      <c r="U50" s="27" t="s">
        <v>95</v>
      </c>
      <c r="V50" s="40">
        <f t="shared" si="0"/>
        <v>6.75</v>
      </c>
      <c r="W50" s="40">
        <f t="shared" si="1"/>
        <v>33.76</v>
      </c>
      <c r="X50" s="23" t="s">
        <v>92</v>
      </c>
      <c r="Y50" s="26" t="s">
        <v>50</v>
      </c>
      <c r="Z50" s="23"/>
      <c r="AA50" s="26" t="s">
        <v>50</v>
      </c>
      <c r="AB50" s="41">
        <f t="shared" si="2"/>
        <v>33.76</v>
      </c>
      <c r="AC50" s="23">
        <v>1</v>
      </c>
      <c r="AD50" s="23" t="s">
        <v>97</v>
      </c>
      <c r="AE50" s="24">
        <v>42277</v>
      </c>
      <c r="AF50" s="23" t="s">
        <v>92</v>
      </c>
      <c r="AG50" s="23">
        <f t="shared" si="3"/>
        <v>36676</v>
      </c>
      <c r="AH50" s="23"/>
      <c r="AI50" s="27" t="str">
        <f t="shared" si="6"/>
        <v>P20</v>
      </c>
      <c r="AJ50" s="23"/>
      <c r="AK50" s="23"/>
      <c r="AL50" s="26" t="s">
        <v>50</v>
      </c>
      <c r="AM50" s="28" t="s">
        <v>58</v>
      </c>
    </row>
    <row r="51" spans="1:39" x14ac:dyDescent="0.3">
      <c r="A51" t="s">
        <v>93</v>
      </c>
      <c r="B51" s="32">
        <v>42170</v>
      </c>
      <c r="C51" s="6">
        <v>160.80000000000001</v>
      </c>
      <c r="D51" t="s">
        <v>91</v>
      </c>
      <c r="E51" t="s">
        <v>46</v>
      </c>
      <c r="F51" s="6">
        <v>26.8</v>
      </c>
      <c r="G51" s="5">
        <f t="shared" si="4"/>
        <v>42200</v>
      </c>
      <c r="H51" s="5">
        <f t="shared" si="5"/>
        <v>42170</v>
      </c>
      <c r="I51">
        <v>0</v>
      </c>
      <c r="J51">
        <v>37789</v>
      </c>
      <c r="K51" t="s">
        <v>229</v>
      </c>
      <c r="M51" t="s">
        <v>153</v>
      </c>
      <c r="N51" s="23" t="s">
        <v>47</v>
      </c>
      <c r="O51" s="25">
        <v>1001</v>
      </c>
      <c r="P51" s="23" t="s">
        <v>94</v>
      </c>
      <c r="Q51" s="23"/>
      <c r="R51" s="26" t="s">
        <v>50</v>
      </c>
      <c r="S51" s="23"/>
      <c r="T51" s="26" t="s">
        <v>50</v>
      </c>
      <c r="U51" s="27" t="s">
        <v>95</v>
      </c>
      <c r="V51" s="40">
        <f t="shared" si="0"/>
        <v>26.8</v>
      </c>
      <c r="W51" s="40">
        <f t="shared" si="1"/>
        <v>134</v>
      </c>
      <c r="X51" s="23" t="s">
        <v>92</v>
      </c>
      <c r="Y51" s="26" t="s">
        <v>50</v>
      </c>
      <c r="Z51" s="23"/>
      <c r="AA51" s="26" t="s">
        <v>50</v>
      </c>
      <c r="AB51" s="41">
        <f t="shared" si="2"/>
        <v>134</v>
      </c>
      <c r="AC51" s="23">
        <v>1</v>
      </c>
      <c r="AD51" s="23" t="s">
        <v>97</v>
      </c>
      <c r="AE51" s="24">
        <v>42277</v>
      </c>
      <c r="AF51" s="23" t="s">
        <v>92</v>
      </c>
      <c r="AG51" s="23">
        <f t="shared" si="3"/>
        <v>37789</v>
      </c>
      <c r="AH51" s="23"/>
      <c r="AI51" s="27" t="str">
        <f t="shared" si="6"/>
        <v>P20</v>
      </c>
      <c r="AJ51" s="23"/>
      <c r="AK51" s="23"/>
      <c r="AL51" s="26" t="s">
        <v>50</v>
      </c>
      <c r="AM51" s="28" t="s">
        <v>58</v>
      </c>
    </row>
    <row r="52" spans="1:39" x14ac:dyDescent="0.3">
      <c r="A52" t="s">
        <v>93</v>
      </c>
      <c r="B52" s="32">
        <v>42182</v>
      </c>
      <c r="C52" s="6">
        <v>122.53</v>
      </c>
      <c r="D52" t="s">
        <v>91</v>
      </c>
      <c r="E52" t="s">
        <v>46</v>
      </c>
      <c r="F52" s="6">
        <v>20.420000000000002</v>
      </c>
      <c r="G52" s="5">
        <f t="shared" si="4"/>
        <v>42212</v>
      </c>
      <c r="H52" s="5">
        <f t="shared" si="5"/>
        <v>42182</v>
      </c>
      <c r="I52">
        <v>0</v>
      </c>
      <c r="J52">
        <v>36731</v>
      </c>
      <c r="K52" t="s">
        <v>229</v>
      </c>
      <c r="M52" t="s">
        <v>154</v>
      </c>
      <c r="N52" s="23" t="s">
        <v>47</v>
      </c>
      <c r="O52" s="25">
        <v>1001</v>
      </c>
      <c r="P52" s="23" t="s">
        <v>94</v>
      </c>
      <c r="Q52" s="23"/>
      <c r="R52" s="26" t="s">
        <v>50</v>
      </c>
      <c r="S52" s="23"/>
      <c r="T52" s="26" t="s">
        <v>50</v>
      </c>
      <c r="U52" s="27" t="s">
        <v>95</v>
      </c>
      <c r="V52" s="40">
        <f t="shared" si="0"/>
        <v>20.420000000000002</v>
      </c>
      <c r="W52" s="40">
        <f t="shared" si="1"/>
        <v>102.11</v>
      </c>
      <c r="X52" s="23" t="s">
        <v>92</v>
      </c>
      <c r="Y52" s="26" t="s">
        <v>50</v>
      </c>
      <c r="Z52" s="23"/>
      <c r="AA52" s="26" t="s">
        <v>50</v>
      </c>
      <c r="AB52" s="41">
        <f t="shared" si="2"/>
        <v>102.11</v>
      </c>
      <c r="AC52" s="23">
        <v>1</v>
      </c>
      <c r="AD52" s="23" t="s">
        <v>97</v>
      </c>
      <c r="AE52" s="24">
        <v>42277</v>
      </c>
      <c r="AF52" s="23" t="s">
        <v>92</v>
      </c>
      <c r="AG52" s="23">
        <f t="shared" si="3"/>
        <v>36731</v>
      </c>
      <c r="AH52" s="23"/>
      <c r="AI52" s="27" t="str">
        <f t="shared" si="6"/>
        <v>P20</v>
      </c>
      <c r="AJ52" s="23"/>
      <c r="AK52" s="23"/>
      <c r="AL52" s="26" t="s">
        <v>50</v>
      </c>
      <c r="AM52" s="28" t="s">
        <v>58</v>
      </c>
    </row>
    <row r="53" spans="1:39" x14ac:dyDescent="0.3">
      <c r="A53" t="s">
        <v>93</v>
      </c>
      <c r="B53" s="32">
        <v>42165</v>
      </c>
      <c r="C53" s="6">
        <v>102.82000000000001</v>
      </c>
      <c r="D53" t="s">
        <v>91</v>
      </c>
      <c r="E53" t="s">
        <v>46</v>
      </c>
      <c r="F53" s="6">
        <v>17.14</v>
      </c>
      <c r="G53" s="5">
        <f t="shared" si="4"/>
        <v>42195</v>
      </c>
      <c r="H53" s="5">
        <f t="shared" si="5"/>
        <v>42165</v>
      </c>
      <c r="I53">
        <v>0</v>
      </c>
      <c r="J53">
        <v>36491</v>
      </c>
      <c r="K53" t="s">
        <v>229</v>
      </c>
      <c r="M53" t="s">
        <v>155</v>
      </c>
      <c r="N53" s="23" t="s">
        <v>47</v>
      </c>
      <c r="O53" s="25">
        <v>1001</v>
      </c>
      <c r="P53" s="23" t="s">
        <v>94</v>
      </c>
      <c r="Q53" s="23"/>
      <c r="R53" s="26" t="s">
        <v>50</v>
      </c>
      <c r="S53" s="23"/>
      <c r="T53" s="26" t="s">
        <v>50</v>
      </c>
      <c r="U53" s="27" t="s">
        <v>95</v>
      </c>
      <c r="V53" s="40">
        <f t="shared" si="0"/>
        <v>17.14</v>
      </c>
      <c r="W53" s="40">
        <f t="shared" si="1"/>
        <v>85.68</v>
      </c>
      <c r="X53" s="23" t="s">
        <v>92</v>
      </c>
      <c r="Y53" s="26" t="s">
        <v>50</v>
      </c>
      <c r="Z53" s="23"/>
      <c r="AA53" s="26" t="s">
        <v>50</v>
      </c>
      <c r="AB53" s="41">
        <f t="shared" si="2"/>
        <v>85.68</v>
      </c>
      <c r="AC53" s="23">
        <v>1</v>
      </c>
      <c r="AD53" s="23" t="s">
        <v>97</v>
      </c>
      <c r="AE53" s="24">
        <v>42277</v>
      </c>
      <c r="AF53" s="23" t="s">
        <v>92</v>
      </c>
      <c r="AG53" s="23">
        <f t="shared" si="3"/>
        <v>36491</v>
      </c>
      <c r="AH53" s="23"/>
      <c r="AI53" s="27" t="str">
        <f t="shared" si="6"/>
        <v>P20</v>
      </c>
      <c r="AJ53" s="23"/>
      <c r="AK53" s="23"/>
      <c r="AL53" s="26" t="s">
        <v>50</v>
      </c>
      <c r="AM53" s="28" t="s">
        <v>58</v>
      </c>
    </row>
    <row r="54" spans="1:39" x14ac:dyDescent="0.3">
      <c r="A54" t="s">
        <v>93</v>
      </c>
      <c r="B54" s="32">
        <v>42160</v>
      </c>
      <c r="C54" s="6">
        <v>87.55</v>
      </c>
      <c r="D54" t="s">
        <v>91</v>
      </c>
      <c r="E54" t="s">
        <v>46</v>
      </c>
      <c r="F54" s="6">
        <v>14.6</v>
      </c>
      <c r="G54" s="5">
        <f t="shared" si="4"/>
        <v>42190</v>
      </c>
      <c r="H54" s="5">
        <f t="shared" si="5"/>
        <v>42160</v>
      </c>
      <c r="I54">
        <v>0</v>
      </c>
      <c r="J54">
        <v>36416</v>
      </c>
      <c r="K54" t="s">
        <v>229</v>
      </c>
      <c r="M54" t="s">
        <v>156</v>
      </c>
      <c r="N54" s="23" t="s">
        <v>47</v>
      </c>
      <c r="O54" s="25">
        <v>1001</v>
      </c>
      <c r="P54" s="23" t="s">
        <v>94</v>
      </c>
      <c r="Q54" s="23"/>
      <c r="R54" s="26" t="s">
        <v>50</v>
      </c>
      <c r="S54" s="23"/>
      <c r="T54" s="26" t="s">
        <v>50</v>
      </c>
      <c r="U54" s="27" t="s">
        <v>95</v>
      </c>
      <c r="V54" s="40">
        <f t="shared" si="0"/>
        <v>14.6</v>
      </c>
      <c r="W54" s="40">
        <f t="shared" si="1"/>
        <v>72.95</v>
      </c>
      <c r="X54" s="23" t="s">
        <v>92</v>
      </c>
      <c r="Y54" s="26" t="s">
        <v>50</v>
      </c>
      <c r="Z54" s="23"/>
      <c r="AA54" s="26" t="s">
        <v>50</v>
      </c>
      <c r="AB54" s="41">
        <f t="shared" si="2"/>
        <v>72.95</v>
      </c>
      <c r="AC54" s="23">
        <v>1</v>
      </c>
      <c r="AD54" s="23" t="s">
        <v>97</v>
      </c>
      <c r="AE54" s="24">
        <v>42277</v>
      </c>
      <c r="AF54" s="23" t="s">
        <v>92</v>
      </c>
      <c r="AG54" s="23">
        <f t="shared" si="3"/>
        <v>36416</v>
      </c>
      <c r="AH54" s="23"/>
      <c r="AI54" s="27" t="str">
        <f t="shared" si="6"/>
        <v>P20</v>
      </c>
      <c r="AJ54" s="23"/>
      <c r="AK54" s="23"/>
      <c r="AL54" s="26" t="s">
        <v>50</v>
      </c>
      <c r="AM54" s="28" t="s">
        <v>58</v>
      </c>
    </row>
    <row r="55" spans="1:39" x14ac:dyDescent="0.3">
      <c r="A55" t="s">
        <v>93</v>
      </c>
      <c r="B55" s="32">
        <v>42166</v>
      </c>
      <c r="C55" s="6">
        <v>102.38</v>
      </c>
      <c r="D55" t="s">
        <v>91</v>
      </c>
      <c r="E55" t="s">
        <v>46</v>
      </c>
      <c r="F55" s="6">
        <v>17.059999999999999</v>
      </c>
      <c r="G55" s="5">
        <f t="shared" si="4"/>
        <v>42196</v>
      </c>
      <c r="H55" s="5">
        <f t="shared" si="5"/>
        <v>42166</v>
      </c>
      <c r="I55">
        <v>0</v>
      </c>
      <c r="J55">
        <v>36538</v>
      </c>
      <c r="K55" t="s">
        <v>229</v>
      </c>
      <c r="M55" t="s">
        <v>157</v>
      </c>
      <c r="N55" s="23" t="s">
        <v>47</v>
      </c>
      <c r="O55" s="25">
        <v>1001</v>
      </c>
      <c r="P55" s="23" t="s">
        <v>94</v>
      </c>
      <c r="Q55" s="23"/>
      <c r="R55" s="26" t="s">
        <v>50</v>
      </c>
      <c r="S55" s="23"/>
      <c r="T55" s="26" t="s">
        <v>50</v>
      </c>
      <c r="U55" s="27" t="s">
        <v>95</v>
      </c>
      <c r="V55" s="40">
        <f t="shared" si="0"/>
        <v>17.059999999999999</v>
      </c>
      <c r="W55" s="40">
        <f t="shared" si="1"/>
        <v>85.32</v>
      </c>
      <c r="X55" s="23" t="s">
        <v>92</v>
      </c>
      <c r="Y55" s="26" t="s">
        <v>50</v>
      </c>
      <c r="Z55" s="23"/>
      <c r="AA55" s="26" t="s">
        <v>50</v>
      </c>
      <c r="AB55" s="41">
        <f t="shared" si="2"/>
        <v>85.32</v>
      </c>
      <c r="AC55" s="23">
        <v>1</v>
      </c>
      <c r="AD55" s="23" t="s">
        <v>97</v>
      </c>
      <c r="AE55" s="24">
        <v>42277</v>
      </c>
      <c r="AF55" s="23" t="s">
        <v>92</v>
      </c>
      <c r="AG55" s="23">
        <f t="shared" si="3"/>
        <v>36538</v>
      </c>
      <c r="AH55" s="23"/>
      <c r="AI55" s="27" t="str">
        <f t="shared" si="6"/>
        <v>P20</v>
      </c>
      <c r="AJ55" s="23"/>
      <c r="AK55" s="23"/>
      <c r="AL55" s="26" t="s">
        <v>50</v>
      </c>
      <c r="AM55" s="28" t="s">
        <v>58</v>
      </c>
    </row>
    <row r="56" spans="1:39" x14ac:dyDescent="0.3">
      <c r="A56" t="s">
        <v>93</v>
      </c>
      <c r="B56" s="32">
        <v>42167</v>
      </c>
      <c r="C56" s="6">
        <v>9.31</v>
      </c>
      <c r="D56" t="s">
        <v>91</v>
      </c>
      <c r="E56" t="s">
        <v>46</v>
      </c>
      <c r="F56" s="6">
        <v>1.55</v>
      </c>
      <c r="G56" s="5">
        <f t="shared" si="4"/>
        <v>42197</v>
      </c>
      <c r="H56" s="5">
        <f t="shared" si="5"/>
        <v>42167</v>
      </c>
      <c r="I56">
        <v>0</v>
      </c>
      <c r="J56">
        <v>36549</v>
      </c>
      <c r="K56" t="s">
        <v>229</v>
      </c>
      <c r="M56" t="s">
        <v>158</v>
      </c>
      <c r="N56" s="23" t="s">
        <v>47</v>
      </c>
      <c r="O56" s="25">
        <v>1001</v>
      </c>
      <c r="P56" s="23" t="s">
        <v>94</v>
      </c>
      <c r="Q56" s="23"/>
      <c r="R56" s="26" t="s">
        <v>50</v>
      </c>
      <c r="S56" s="23"/>
      <c r="T56" s="26" t="s">
        <v>50</v>
      </c>
      <c r="U56" s="27" t="s">
        <v>95</v>
      </c>
      <c r="V56" s="40">
        <f t="shared" si="0"/>
        <v>1.55</v>
      </c>
      <c r="W56" s="40">
        <f t="shared" si="1"/>
        <v>7.7600000000000007</v>
      </c>
      <c r="X56" s="23" t="s">
        <v>92</v>
      </c>
      <c r="Y56" s="26" t="s">
        <v>50</v>
      </c>
      <c r="Z56" s="23"/>
      <c r="AA56" s="26" t="s">
        <v>50</v>
      </c>
      <c r="AB56" s="41">
        <f t="shared" si="2"/>
        <v>7.7600000000000007</v>
      </c>
      <c r="AC56" s="23">
        <v>1</v>
      </c>
      <c r="AD56" s="23" t="s">
        <v>97</v>
      </c>
      <c r="AE56" s="24">
        <v>42277</v>
      </c>
      <c r="AF56" s="23" t="s">
        <v>92</v>
      </c>
      <c r="AG56" s="23">
        <f t="shared" si="3"/>
        <v>36549</v>
      </c>
      <c r="AH56" s="23"/>
      <c r="AI56" s="27" t="str">
        <f t="shared" si="6"/>
        <v>P20</v>
      </c>
      <c r="AJ56" s="23"/>
      <c r="AK56" s="23"/>
      <c r="AL56" s="26" t="s">
        <v>50</v>
      </c>
      <c r="AM56" s="28" t="s">
        <v>58</v>
      </c>
    </row>
    <row r="57" spans="1:39" x14ac:dyDescent="0.3">
      <c r="A57" t="s">
        <v>93</v>
      </c>
      <c r="B57" s="32">
        <v>42173</v>
      </c>
      <c r="C57" s="6">
        <v>3.88</v>
      </c>
      <c r="D57" t="s">
        <v>91</v>
      </c>
      <c r="E57" t="s">
        <v>46</v>
      </c>
      <c r="F57" s="6">
        <v>0.65</v>
      </c>
      <c r="G57" s="5">
        <f t="shared" si="4"/>
        <v>42203</v>
      </c>
      <c r="H57" s="5">
        <f t="shared" si="5"/>
        <v>42173</v>
      </c>
      <c r="I57">
        <v>0</v>
      </c>
      <c r="J57">
        <v>36633</v>
      </c>
      <c r="K57" t="s">
        <v>229</v>
      </c>
      <c r="M57" t="s">
        <v>159</v>
      </c>
      <c r="N57" s="23" t="s">
        <v>47</v>
      </c>
      <c r="O57" s="25">
        <v>1001</v>
      </c>
      <c r="P57" s="23" t="s">
        <v>94</v>
      </c>
      <c r="Q57" s="23"/>
      <c r="R57" s="26" t="s">
        <v>50</v>
      </c>
      <c r="S57" s="23"/>
      <c r="T57" s="26" t="s">
        <v>50</v>
      </c>
      <c r="U57" s="27" t="s">
        <v>95</v>
      </c>
      <c r="V57" s="40">
        <f t="shared" si="0"/>
        <v>0.65</v>
      </c>
      <c r="W57" s="40">
        <f t="shared" si="1"/>
        <v>3.23</v>
      </c>
      <c r="X57" s="23" t="s">
        <v>92</v>
      </c>
      <c r="Y57" s="26" t="s">
        <v>50</v>
      </c>
      <c r="Z57" s="23"/>
      <c r="AA57" s="26" t="s">
        <v>50</v>
      </c>
      <c r="AB57" s="41">
        <f t="shared" si="2"/>
        <v>3.23</v>
      </c>
      <c r="AC57" s="23">
        <v>1</v>
      </c>
      <c r="AD57" s="23" t="s">
        <v>97</v>
      </c>
      <c r="AE57" s="24">
        <v>42277</v>
      </c>
      <c r="AF57" s="23" t="s">
        <v>92</v>
      </c>
      <c r="AG57" s="23">
        <f t="shared" si="3"/>
        <v>36633</v>
      </c>
      <c r="AH57" s="23"/>
      <c r="AI57" s="27" t="str">
        <f t="shared" si="6"/>
        <v>P20</v>
      </c>
      <c r="AJ57" s="23"/>
      <c r="AK57" s="23"/>
      <c r="AL57" s="26" t="s">
        <v>50</v>
      </c>
      <c r="AM57" s="28" t="s">
        <v>58</v>
      </c>
    </row>
    <row r="58" spans="1:39" x14ac:dyDescent="0.3">
      <c r="A58" t="s">
        <v>93</v>
      </c>
      <c r="B58" s="32">
        <v>42177</v>
      </c>
      <c r="C58" s="6">
        <v>22.130000000000003</v>
      </c>
      <c r="D58" t="s">
        <v>91</v>
      </c>
      <c r="E58" t="s">
        <v>46</v>
      </c>
      <c r="F58" s="6">
        <v>3.69</v>
      </c>
      <c r="G58" s="5">
        <f t="shared" si="4"/>
        <v>42207</v>
      </c>
      <c r="H58" s="5">
        <f t="shared" si="5"/>
        <v>42177</v>
      </c>
      <c r="I58">
        <v>0</v>
      </c>
      <c r="J58">
        <v>36644</v>
      </c>
      <c r="K58" t="s">
        <v>229</v>
      </c>
      <c r="M58" t="s">
        <v>160</v>
      </c>
      <c r="N58" s="23" t="s">
        <v>47</v>
      </c>
      <c r="O58" s="25">
        <v>1001</v>
      </c>
      <c r="P58" s="23" t="s">
        <v>94</v>
      </c>
      <c r="Q58" s="23"/>
      <c r="R58" s="26" t="s">
        <v>50</v>
      </c>
      <c r="S58" s="23"/>
      <c r="T58" s="26" t="s">
        <v>50</v>
      </c>
      <c r="U58" s="27" t="s">
        <v>95</v>
      </c>
      <c r="V58" s="40">
        <f t="shared" si="0"/>
        <v>3.69</v>
      </c>
      <c r="W58" s="40">
        <f t="shared" si="1"/>
        <v>18.440000000000001</v>
      </c>
      <c r="X58" s="23" t="s">
        <v>92</v>
      </c>
      <c r="Y58" s="26" t="s">
        <v>50</v>
      </c>
      <c r="Z58" s="23"/>
      <c r="AA58" s="26" t="s">
        <v>50</v>
      </c>
      <c r="AB58" s="41">
        <f t="shared" si="2"/>
        <v>18.440000000000001</v>
      </c>
      <c r="AC58" s="23">
        <v>1</v>
      </c>
      <c r="AD58" s="23" t="s">
        <v>97</v>
      </c>
      <c r="AE58" s="24">
        <v>42277</v>
      </c>
      <c r="AF58" s="23" t="s">
        <v>92</v>
      </c>
      <c r="AG58" s="23">
        <f t="shared" si="3"/>
        <v>36644</v>
      </c>
      <c r="AH58" s="23"/>
      <c r="AI58" s="27" t="str">
        <f t="shared" si="6"/>
        <v>P20</v>
      </c>
      <c r="AJ58" s="23"/>
      <c r="AK58" s="23"/>
      <c r="AL58" s="26" t="s">
        <v>50</v>
      </c>
      <c r="AM58" s="28" t="s">
        <v>58</v>
      </c>
    </row>
    <row r="59" spans="1:39" x14ac:dyDescent="0.3">
      <c r="A59" t="s">
        <v>93</v>
      </c>
      <c r="B59" s="32">
        <v>42178</v>
      </c>
      <c r="C59" s="6">
        <v>10.54</v>
      </c>
      <c r="D59" t="s">
        <v>91</v>
      </c>
      <c r="E59" t="s">
        <v>46</v>
      </c>
      <c r="F59" s="6">
        <v>1.76</v>
      </c>
      <c r="G59" s="5">
        <f t="shared" si="4"/>
        <v>42208</v>
      </c>
      <c r="H59" s="5">
        <f t="shared" si="5"/>
        <v>42178</v>
      </c>
      <c r="I59">
        <v>0</v>
      </c>
      <c r="J59">
        <v>37790</v>
      </c>
      <c r="K59" t="s">
        <v>229</v>
      </c>
      <c r="M59" t="s">
        <v>161</v>
      </c>
      <c r="N59" s="23" t="s">
        <v>47</v>
      </c>
      <c r="O59" s="25">
        <v>1001</v>
      </c>
      <c r="P59" s="23" t="s">
        <v>94</v>
      </c>
      <c r="Q59" s="23"/>
      <c r="R59" s="26" t="s">
        <v>50</v>
      </c>
      <c r="S59" s="23"/>
      <c r="T59" s="26" t="s">
        <v>50</v>
      </c>
      <c r="U59" s="27" t="s">
        <v>95</v>
      </c>
      <c r="V59" s="40">
        <f t="shared" si="0"/>
        <v>1.76</v>
      </c>
      <c r="W59" s="40">
        <f t="shared" si="1"/>
        <v>8.7799999999999994</v>
      </c>
      <c r="X59" s="23" t="s">
        <v>92</v>
      </c>
      <c r="Y59" s="26" t="s">
        <v>50</v>
      </c>
      <c r="Z59" s="23"/>
      <c r="AA59" s="26" t="s">
        <v>50</v>
      </c>
      <c r="AB59" s="41">
        <f t="shared" si="2"/>
        <v>8.7799999999999994</v>
      </c>
      <c r="AC59" s="23">
        <v>1</v>
      </c>
      <c r="AD59" s="23" t="s">
        <v>97</v>
      </c>
      <c r="AE59" s="24">
        <v>42277</v>
      </c>
      <c r="AF59" s="23" t="s">
        <v>92</v>
      </c>
      <c r="AG59" s="23">
        <f t="shared" si="3"/>
        <v>37790</v>
      </c>
      <c r="AH59" s="23"/>
      <c r="AI59" s="27" t="str">
        <f t="shared" si="6"/>
        <v>P20</v>
      </c>
      <c r="AJ59" s="23"/>
      <c r="AK59" s="23"/>
      <c r="AL59" s="26" t="s">
        <v>50</v>
      </c>
      <c r="AM59" s="28" t="s">
        <v>58</v>
      </c>
    </row>
    <row r="60" spans="1:39" x14ac:dyDescent="0.3">
      <c r="A60" t="s">
        <v>93</v>
      </c>
      <c r="B60" s="32">
        <v>42181</v>
      </c>
      <c r="C60" s="6">
        <v>10.029999999999999</v>
      </c>
      <c r="D60" t="s">
        <v>91</v>
      </c>
      <c r="E60" t="s">
        <v>46</v>
      </c>
      <c r="F60" s="6">
        <v>1.67</v>
      </c>
      <c r="G60" s="5">
        <f t="shared" si="4"/>
        <v>42211</v>
      </c>
      <c r="H60" s="5">
        <f t="shared" si="5"/>
        <v>42181</v>
      </c>
      <c r="I60">
        <v>0</v>
      </c>
      <c r="J60">
        <v>36728</v>
      </c>
      <c r="K60" t="s">
        <v>229</v>
      </c>
      <c r="M60" t="s">
        <v>162</v>
      </c>
      <c r="N60" s="23" t="s">
        <v>47</v>
      </c>
      <c r="O60" s="25">
        <v>1001</v>
      </c>
      <c r="P60" s="23" t="s">
        <v>94</v>
      </c>
      <c r="Q60" s="23"/>
      <c r="R60" s="26" t="s">
        <v>50</v>
      </c>
      <c r="S60" s="23"/>
      <c r="T60" s="26" t="s">
        <v>50</v>
      </c>
      <c r="U60" s="27" t="s">
        <v>95</v>
      </c>
      <c r="V60" s="40">
        <f t="shared" si="0"/>
        <v>1.67</v>
      </c>
      <c r="W60" s="40">
        <f t="shared" si="1"/>
        <v>8.36</v>
      </c>
      <c r="X60" s="23" t="s">
        <v>92</v>
      </c>
      <c r="Y60" s="26" t="s">
        <v>50</v>
      </c>
      <c r="Z60" s="23"/>
      <c r="AA60" s="26" t="s">
        <v>50</v>
      </c>
      <c r="AB60" s="41">
        <f t="shared" si="2"/>
        <v>8.36</v>
      </c>
      <c r="AC60" s="23">
        <v>1</v>
      </c>
      <c r="AD60" s="23" t="s">
        <v>97</v>
      </c>
      <c r="AE60" s="24">
        <v>42277</v>
      </c>
      <c r="AF60" s="23" t="s">
        <v>92</v>
      </c>
      <c r="AG60" s="23">
        <f t="shared" si="3"/>
        <v>36728</v>
      </c>
      <c r="AH60" s="23"/>
      <c r="AI60" s="27" t="str">
        <f t="shared" si="6"/>
        <v>P20</v>
      </c>
      <c r="AJ60" s="23"/>
      <c r="AK60" s="23"/>
      <c r="AL60" s="26" t="s">
        <v>50</v>
      </c>
      <c r="AM60" s="28" t="s">
        <v>58</v>
      </c>
    </row>
    <row r="61" spans="1:39" x14ac:dyDescent="0.3">
      <c r="A61" t="s">
        <v>93</v>
      </c>
      <c r="B61" s="32">
        <v>42184</v>
      </c>
      <c r="C61" s="6">
        <v>9.1199999999999992</v>
      </c>
      <c r="D61" t="s">
        <v>91</v>
      </c>
      <c r="E61" t="s">
        <v>46</v>
      </c>
      <c r="F61" s="6">
        <v>1.52</v>
      </c>
      <c r="G61" s="5">
        <f t="shared" si="4"/>
        <v>42214</v>
      </c>
      <c r="H61" s="5">
        <f t="shared" si="5"/>
        <v>42184</v>
      </c>
      <c r="I61">
        <v>0</v>
      </c>
      <c r="J61">
        <v>36732</v>
      </c>
      <c r="K61" t="s">
        <v>229</v>
      </c>
      <c r="M61" t="s">
        <v>163</v>
      </c>
      <c r="N61" s="23" t="s">
        <v>47</v>
      </c>
      <c r="O61" s="25">
        <v>1001</v>
      </c>
      <c r="P61" s="23" t="s">
        <v>94</v>
      </c>
      <c r="Q61" s="23"/>
      <c r="R61" s="26" t="s">
        <v>50</v>
      </c>
      <c r="S61" s="23"/>
      <c r="T61" s="26" t="s">
        <v>50</v>
      </c>
      <c r="U61" s="27" t="s">
        <v>95</v>
      </c>
      <c r="V61" s="40">
        <f t="shared" si="0"/>
        <v>1.52</v>
      </c>
      <c r="W61" s="40">
        <f t="shared" si="1"/>
        <v>7.6</v>
      </c>
      <c r="X61" s="23" t="s">
        <v>92</v>
      </c>
      <c r="Y61" s="26" t="s">
        <v>50</v>
      </c>
      <c r="Z61" s="23"/>
      <c r="AA61" s="26" t="s">
        <v>50</v>
      </c>
      <c r="AB61" s="41">
        <f t="shared" si="2"/>
        <v>7.6</v>
      </c>
      <c r="AC61" s="23">
        <v>1</v>
      </c>
      <c r="AD61" s="23" t="s">
        <v>97</v>
      </c>
      <c r="AE61" s="24">
        <v>42277</v>
      </c>
      <c r="AF61" s="23" t="s">
        <v>92</v>
      </c>
      <c r="AG61" s="23">
        <f t="shared" si="3"/>
        <v>36732</v>
      </c>
      <c r="AH61" s="23"/>
      <c r="AI61" s="27" t="str">
        <f t="shared" si="6"/>
        <v>P20</v>
      </c>
      <c r="AJ61" s="23"/>
      <c r="AK61" s="23"/>
      <c r="AL61" s="26" t="s">
        <v>50</v>
      </c>
      <c r="AM61" s="28" t="s">
        <v>58</v>
      </c>
    </row>
    <row r="62" spans="1:39" x14ac:dyDescent="0.3">
      <c r="A62" t="s">
        <v>93</v>
      </c>
      <c r="B62" s="32">
        <v>42185</v>
      </c>
      <c r="C62" s="6">
        <v>10.17</v>
      </c>
      <c r="D62" t="s">
        <v>91</v>
      </c>
      <c r="E62" t="s">
        <v>46</v>
      </c>
      <c r="F62" s="6">
        <v>1.69</v>
      </c>
      <c r="G62" s="5">
        <f t="shared" si="4"/>
        <v>42215</v>
      </c>
      <c r="H62" s="5">
        <f t="shared" si="5"/>
        <v>42185</v>
      </c>
      <c r="I62">
        <v>0</v>
      </c>
      <c r="J62">
        <v>36737</v>
      </c>
      <c r="K62" t="s">
        <v>229</v>
      </c>
      <c r="M62" t="s">
        <v>164</v>
      </c>
      <c r="N62" s="23" t="s">
        <v>47</v>
      </c>
      <c r="O62" s="25">
        <v>1001</v>
      </c>
      <c r="P62" s="23" t="s">
        <v>94</v>
      </c>
      <c r="Q62" s="23"/>
      <c r="R62" s="26" t="s">
        <v>50</v>
      </c>
      <c r="S62" s="23"/>
      <c r="T62" s="26" t="s">
        <v>50</v>
      </c>
      <c r="U62" s="27" t="s">
        <v>95</v>
      </c>
      <c r="V62" s="40">
        <f t="shared" si="0"/>
        <v>1.69</v>
      </c>
      <c r="W62" s="40">
        <f t="shared" si="1"/>
        <v>8.48</v>
      </c>
      <c r="X62" s="23" t="s">
        <v>92</v>
      </c>
      <c r="Y62" s="26" t="s">
        <v>50</v>
      </c>
      <c r="Z62" s="23"/>
      <c r="AA62" s="26" t="s">
        <v>50</v>
      </c>
      <c r="AB62" s="41">
        <f t="shared" si="2"/>
        <v>8.48</v>
      </c>
      <c r="AC62" s="23">
        <v>1</v>
      </c>
      <c r="AD62" s="23" t="s">
        <v>97</v>
      </c>
      <c r="AE62" s="24">
        <v>42277</v>
      </c>
      <c r="AF62" s="23" t="s">
        <v>92</v>
      </c>
      <c r="AG62" s="23">
        <f t="shared" si="3"/>
        <v>36737</v>
      </c>
      <c r="AH62" s="23"/>
      <c r="AI62" s="27" t="str">
        <f t="shared" si="6"/>
        <v>P20</v>
      </c>
      <c r="AJ62" s="23"/>
      <c r="AK62" s="23"/>
      <c r="AL62" s="26" t="s">
        <v>50</v>
      </c>
      <c r="AM62" s="28" t="s">
        <v>58</v>
      </c>
    </row>
    <row r="63" spans="1:39" x14ac:dyDescent="0.3">
      <c r="A63" t="s">
        <v>93</v>
      </c>
      <c r="B63" s="32">
        <v>42152</v>
      </c>
      <c r="C63" s="6">
        <v>105.6</v>
      </c>
      <c r="D63" t="s">
        <v>91</v>
      </c>
      <c r="E63" t="s">
        <v>46</v>
      </c>
      <c r="F63" s="6">
        <v>17.600000000000001</v>
      </c>
      <c r="G63" s="5">
        <f t="shared" si="4"/>
        <v>42182</v>
      </c>
      <c r="H63" s="5">
        <f t="shared" si="5"/>
        <v>42152</v>
      </c>
      <c r="I63">
        <v>0</v>
      </c>
      <c r="J63">
        <v>35203</v>
      </c>
      <c r="K63" t="s">
        <v>229</v>
      </c>
      <c r="M63" t="s">
        <v>165</v>
      </c>
      <c r="N63" s="23" t="s">
        <v>47</v>
      </c>
      <c r="O63" s="25">
        <v>1001</v>
      </c>
      <c r="P63" s="23" t="s">
        <v>94</v>
      </c>
      <c r="Q63" s="23"/>
      <c r="R63" s="26" t="s">
        <v>50</v>
      </c>
      <c r="S63" s="23"/>
      <c r="T63" s="26" t="s">
        <v>50</v>
      </c>
      <c r="U63" s="27" t="s">
        <v>95</v>
      </c>
      <c r="V63" s="40">
        <f t="shared" si="0"/>
        <v>17.600000000000001</v>
      </c>
      <c r="W63" s="40">
        <f t="shared" si="1"/>
        <v>88</v>
      </c>
      <c r="X63" s="23" t="s">
        <v>92</v>
      </c>
      <c r="Y63" s="26" t="s">
        <v>50</v>
      </c>
      <c r="Z63" s="23"/>
      <c r="AA63" s="26" t="s">
        <v>50</v>
      </c>
      <c r="AB63" s="41">
        <f t="shared" si="2"/>
        <v>88</v>
      </c>
      <c r="AC63" s="23">
        <v>1</v>
      </c>
      <c r="AD63" s="23" t="s">
        <v>97</v>
      </c>
      <c r="AE63" s="24">
        <v>42277</v>
      </c>
      <c r="AF63" s="23" t="s">
        <v>92</v>
      </c>
      <c r="AG63" s="23">
        <f t="shared" si="3"/>
        <v>35203</v>
      </c>
      <c r="AH63" s="23"/>
      <c r="AI63" s="27" t="str">
        <f t="shared" si="6"/>
        <v>P20</v>
      </c>
      <c r="AJ63" s="23"/>
      <c r="AK63" s="23"/>
      <c r="AL63" s="26" t="s">
        <v>50</v>
      </c>
      <c r="AM63" s="28" t="s">
        <v>58</v>
      </c>
    </row>
    <row r="64" spans="1:39" x14ac:dyDescent="0.3">
      <c r="A64" t="s">
        <v>93</v>
      </c>
      <c r="B64" s="32">
        <v>42152</v>
      </c>
      <c r="C64" s="6">
        <v>148.80000000000001</v>
      </c>
      <c r="D64" t="s">
        <v>91</v>
      </c>
      <c r="E64" t="s">
        <v>46</v>
      </c>
      <c r="F64" s="6">
        <v>24.8</v>
      </c>
      <c r="G64" s="5">
        <f t="shared" si="4"/>
        <v>42182</v>
      </c>
      <c r="H64" s="5">
        <f t="shared" si="5"/>
        <v>42152</v>
      </c>
      <c r="I64">
        <v>0</v>
      </c>
      <c r="J64">
        <v>35204</v>
      </c>
      <c r="K64" t="s">
        <v>229</v>
      </c>
      <c r="M64" t="s">
        <v>166</v>
      </c>
      <c r="N64" s="23" t="s">
        <v>47</v>
      </c>
      <c r="O64" s="25">
        <v>1001</v>
      </c>
      <c r="P64" s="23" t="s">
        <v>94</v>
      </c>
      <c r="Q64" s="23"/>
      <c r="R64" s="26" t="s">
        <v>50</v>
      </c>
      <c r="S64" s="23"/>
      <c r="T64" s="26" t="s">
        <v>50</v>
      </c>
      <c r="U64" s="27" t="s">
        <v>95</v>
      </c>
      <c r="V64" s="40">
        <f t="shared" si="0"/>
        <v>24.8</v>
      </c>
      <c r="W64" s="40">
        <f t="shared" si="1"/>
        <v>124.00000000000001</v>
      </c>
      <c r="X64" s="23" t="s">
        <v>92</v>
      </c>
      <c r="Y64" s="26" t="s">
        <v>50</v>
      </c>
      <c r="Z64" s="23"/>
      <c r="AA64" s="26" t="s">
        <v>50</v>
      </c>
      <c r="AB64" s="41">
        <f t="shared" si="2"/>
        <v>124.00000000000001</v>
      </c>
      <c r="AC64" s="23">
        <v>1</v>
      </c>
      <c r="AD64" s="23" t="s">
        <v>97</v>
      </c>
      <c r="AE64" s="24">
        <v>42277</v>
      </c>
      <c r="AF64" s="23" t="s">
        <v>92</v>
      </c>
      <c r="AG64" s="23">
        <f t="shared" si="3"/>
        <v>35204</v>
      </c>
      <c r="AH64" s="23"/>
      <c r="AI64" s="27" t="str">
        <f t="shared" si="6"/>
        <v>P20</v>
      </c>
      <c r="AJ64" s="23"/>
      <c r="AK64" s="23"/>
      <c r="AL64" s="26" t="s">
        <v>50</v>
      </c>
      <c r="AM64" s="28" t="s">
        <v>58</v>
      </c>
    </row>
    <row r="65" spans="1:39" x14ac:dyDescent="0.3">
      <c r="A65" t="s">
        <v>93</v>
      </c>
      <c r="B65" s="32">
        <v>42153</v>
      </c>
      <c r="C65" s="6">
        <v>312</v>
      </c>
      <c r="D65" t="s">
        <v>91</v>
      </c>
      <c r="E65" t="s">
        <v>46</v>
      </c>
      <c r="F65" s="6">
        <v>52</v>
      </c>
      <c r="G65" s="5">
        <f t="shared" si="4"/>
        <v>42183</v>
      </c>
      <c r="H65" s="5">
        <f t="shared" si="5"/>
        <v>42153</v>
      </c>
      <c r="I65">
        <v>0</v>
      </c>
      <c r="J65">
        <v>35227</v>
      </c>
      <c r="K65" t="s">
        <v>229</v>
      </c>
      <c r="M65" t="s">
        <v>167</v>
      </c>
      <c r="N65" s="23" t="s">
        <v>47</v>
      </c>
      <c r="O65" s="25">
        <v>1001</v>
      </c>
      <c r="P65" s="23" t="s">
        <v>94</v>
      </c>
      <c r="Q65" s="23"/>
      <c r="R65" s="26" t="s">
        <v>50</v>
      </c>
      <c r="S65" s="23"/>
      <c r="T65" s="26" t="s">
        <v>50</v>
      </c>
      <c r="U65" s="27" t="s">
        <v>95</v>
      </c>
      <c r="V65" s="40">
        <f t="shared" si="0"/>
        <v>52</v>
      </c>
      <c r="W65" s="40">
        <f t="shared" si="1"/>
        <v>260</v>
      </c>
      <c r="X65" s="23" t="s">
        <v>92</v>
      </c>
      <c r="Y65" s="26" t="s">
        <v>50</v>
      </c>
      <c r="Z65" s="23"/>
      <c r="AA65" s="26" t="s">
        <v>50</v>
      </c>
      <c r="AB65" s="41">
        <f t="shared" si="2"/>
        <v>260</v>
      </c>
      <c r="AC65" s="23">
        <v>1</v>
      </c>
      <c r="AD65" s="23" t="s">
        <v>97</v>
      </c>
      <c r="AE65" s="24">
        <v>42277</v>
      </c>
      <c r="AF65" s="23" t="s">
        <v>92</v>
      </c>
      <c r="AG65" s="23">
        <f t="shared" si="3"/>
        <v>35227</v>
      </c>
      <c r="AH65" s="23"/>
      <c r="AI65" s="27" t="str">
        <f t="shared" si="6"/>
        <v>P20</v>
      </c>
      <c r="AJ65" s="23"/>
      <c r="AK65" s="23"/>
      <c r="AL65" s="26" t="s">
        <v>50</v>
      </c>
      <c r="AM65" s="28" t="s">
        <v>58</v>
      </c>
    </row>
    <row r="66" spans="1:39" x14ac:dyDescent="0.3">
      <c r="A66" t="s">
        <v>93</v>
      </c>
      <c r="B66" s="32">
        <v>42170</v>
      </c>
      <c r="C66" s="6">
        <v>81.599999999999994</v>
      </c>
      <c r="D66" t="s">
        <v>91</v>
      </c>
      <c r="E66" t="s">
        <v>46</v>
      </c>
      <c r="F66" s="6">
        <v>13.6</v>
      </c>
      <c r="G66" s="5">
        <f t="shared" si="4"/>
        <v>42200</v>
      </c>
      <c r="H66" s="5">
        <f t="shared" si="5"/>
        <v>42170</v>
      </c>
      <c r="I66">
        <v>0</v>
      </c>
      <c r="J66">
        <v>36620</v>
      </c>
      <c r="K66" t="s">
        <v>229</v>
      </c>
      <c r="M66" t="s">
        <v>168</v>
      </c>
      <c r="N66" s="23" t="s">
        <v>47</v>
      </c>
      <c r="O66" s="25">
        <v>1001</v>
      </c>
      <c r="P66" s="23" t="s">
        <v>94</v>
      </c>
      <c r="Q66" s="23"/>
      <c r="R66" s="26" t="s">
        <v>50</v>
      </c>
      <c r="S66" s="23"/>
      <c r="T66" s="26" t="s">
        <v>50</v>
      </c>
      <c r="U66" s="27" t="s">
        <v>95</v>
      </c>
      <c r="V66" s="40">
        <f t="shared" si="0"/>
        <v>13.6</v>
      </c>
      <c r="W66" s="40">
        <f t="shared" si="1"/>
        <v>68</v>
      </c>
      <c r="X66" s="23" t="s">
        <v>92</v>
      </c>
      <c r="Y66" s="26" t="s">
        <v>50</v>
      </c>
      <c r="Z66" s="23"/>
      <c r="AA66" s="26" t="s">
        <v>50</v>
      </c>
      <c r="AB66" s="41">
        <f t="shared" si="2"/>
        <v>68</v>
      </c>
      <c r="AC66" s="23">
        <v>1</v>
      </c>
      <c r="AD66" s="23" t="s">
        <v>97</v>
      </c>
      <c r="AE66" s="24">
        <v>42277</v>
      </c>
      <c r="AF66" s="23" t="s">
        <v>92</v>
      </c>
      <c r="AG66" s="23">
        <f t="shared" si="3"/>
        <v>36620</v>
      </c>
      <c r="AH66" s="23"/>
      <c r="AI66" s="27" t="str">
        <f t="shared" si="6"/>
        <v>P20</v>
      </c>
      <c r="AJ66" s="23"/>
      <c r="AK66" s="23"/>
      <c r="AL66" s="26" t="s">
        <v>50</v>
      </c>
      <c r="AM66" s="28" t="s">
        <v>58</v>
      </c>
    </row>
    <row r="67" spans="1:39" x14ac:dyDescent="0.3">
      <c r="A67" t="s">
        <v>93</v>
      </c>
      <c r="B67" s="32">
        <v>42167</v>
      </c>
      <c r="C67" s="6">
        <v>29.15</v>
      </c>
      <c r="D67" t="s">
        <v>91</v>
      </c>
      <c r="E67" t="s">
        <v>46</v>
      </c>
      <c r="F67" s="6">
        <v>4.8600000000000003</v>
      </c>
      <c r="G67" s="5">
        <f t="shared" si="4"/>
        <v>42197</v>
      </c>
      <c r="H67" s="5">
        <f t="shared" si="5"/>
        <v>42167</v>
      </c>
      <c r="I67">
        <v>0</v>
      </c>
      <c r="J67">
        <v>36543</v>
      </c>
      <c r="K67" t="s">
        <v>229</v>
      </c>
      <c r="M67" t="s">
        <v>169</v>
      </c>
      <c r="N67" s="23" t="s">
        <v>47</v>
      </c>
      <c r="O67" s="25">
        <v>1001</v>
      </c>
      <c r="P67" s="23" t="s">
        <v>94</v>
      </c>
      <c r="Q67" s="23"/>
      <c r="R67" s="26" t="s">
        <v>50</v>
      </c>
      <c r="S67" s="23"/>
      <c r="T67" s="26" t="s">
        <v>50</v>
      </c>
      <c r="U67" s="27" t="s">
        <v>95</v>
      </c>
      <c r="V67" s="40">
        <f t="shared" si="0"/>
        <v>4.8600000000000003</v>
      </c>
      <c r="W67" s="40">
        <f t="shared" si="1"/>
        <v>24.29</v>
      </c>
      <c r="X67" s="23" t="s">
        <v>92</v>
      </c>
      <c r="Y67" s="26" t="s">
        <v>50</v>
      </c>
      <c r="Z67" s="23"/>
      <c r="AA67" s="26" t="s">
        <v>50</v>
      </c>
      <c r="AB67" s="41">
        <f t="shared" si="2"/>
        <v>24.29</v>
      </c>
      <c r="AC67" s="23">
        <v>1</v>
      </c>
      <c r="AD67" s="23" t="s">
        <v>97</v>
      </c>
      <c r="AE67" s="24">
        <v>42277</v>
      </c>
      <c r="AF67" s="23" t="s">
        <v>92</v>
      </c>
      <c r="AG67" s="23">
        <f t="shared" si="3"/>
        <v>36543</v>
      </c>
      <c r="AH67" s="23"/>
      <c r="AI67" s="27" t="str">
        <f t="shared" si="6"/>
        <v>P20</v>
      </c>
      <c r="AJ67" s="23"/>
      <c r="AK67" s="23"/>
      <c r="AL67" s="26" t="s">
        <v>50</v>
      </c>
      <c r="AM67" s="28" t="s">
        <v>58</v>
      </c>
    </row>
    <row r="68" spans="1:39" x14ac:dyDescent="0.3">
      <c r="A68" t="s">
        <v>93</v>
      </c>
      <c r="B68" s="32">
        <v>42109</v>
      </c>
      <c r="C68" s="6">
        <v>67.709999999999994</v>
      </c>
      <c r="D68" t="s">
        <v>91</v>
      </c>
      <c r="E68" t="s">
        <v>46</v>
      </c>
      <c r="F68" s="6">
        <v>11.28</v>
      </c>
      <c r="G68" s="5">
        <f t="shared" si="4"/>
        <v>42139</v>
      </c>
      <c r="H68" s="5">
        <f t="shared" si="5"/>
        <v>42109</v>
      </c>
      <c r="I68">
        <v>0</v>
      </c>
      <c r="J68">
        <v>32270</v>
      </c>
      <c r="K68" t="s">
        <v>229</v>
      </c>
      <c r="M68" t="s">
        <v>170</v>
      </c>
      <c r="N68" s="23" t="s">
        <v>47</v>
      </c>
      <c r="O68" s="25">
        <v>1001</v>
      </c>
      <c r="P68" s="23" t="s">
        <v>94</v>
      </c>
      <c r="Q68" s="23"/>
      <c r="R68" s="26" t="s">
        <v>50</v>
      </c>
      <c r="S68" s="23"/>
      <c r="T68" s="26" t="s">
        <v>50</v>
      </c>
      <c r="U68" s="27" t="s">
        <v>95</v>
      </c>
      <c r="V68" s="40">
        <f t="shared" si="0"/>
        <v>11.28</v>
      </c>
      <c r="W68" s="40">
        <f t="shared" si="1"/>
        <v>56.429999999999993</v>
      </c>
      <c r="X68" s="23" t="s">
        <v>92</v>
      </c>
      <c r="Y68" s="26" t="s">
        <v>50</v>
      </c>
      <c r="Z68" s="23"/>
      <c r="AA68" s="26" t="s">
        <v>50</v>
      </c>
      <c r="AB68" s="41">
        <f t="shared" si="2"/>
        <v>56.429999999999993</v>
      </c>
      <c r="AC68" s="23">
        <v>1</v>
      </c>
      <c r="AD68" s="23" t="s">
        <v>97</v>
      </c>
      <c r="AE68" s="24">
        <v>42277</v>
      </c>
      <c r="AF68" s="23" t="s">
        <v>92</v>
      </c>
      <c r="AG68" s="23">
        <f t="shared" si="3"/>
        <v>32270</v>
      </c>
      <c r="AH68" s="23"/>
      <c r="AI68" s="27" t="str">
        <f t="shared" si="6"/>
        <v>P20</v>
      </c>
      <c r="AJ68" s="23"/>
      <c r="AK68" s="23"/>
      <c r="AL68" s="26" t="s">
        <v>50</v>
      </c>
      <c r="AM68" s="28" t="s">
        <v>58</v>
      </c>
    </row>
    <row r="69" spans="1:39" x14ac:dyDescent="0.3">
      <c r="A69" t="s">
        <v>93</v>
      </c>
      <c r="B69" s="32">
        <v>42158</v>
      </c>
      <c r="C69" s="6">
        <v>21.22</v>
      </c>
      <c r="D69" t="s">
        <v>91</v>
      </c>
      <c r="E69" t="s">
        <v>46</v>
      </c>
      <c r="F69" s="6">
        <v>3.54</v>
      </c>
      <c r="G69" s="5">
        <f t="shared" si="4"/>
        <v>42188</v>
      </c>
      <c r="H69" s="5">
        <f t="shared" si="5"/>
        <v>42158</v>
      </c>
      <c r="I69">
        <v>0</v>
      </c>
      <c r="J69">
        <v>36408</v>
      </c>
      <c r="K69" t="s">
        <v>229</v>
      </c>
      <c r="M69" t="s">
        <v>171</v>
      </c>
      <c r="N69" s="23" t="s">
        <v>47</v>
      </c>
      <c r="O69" s="25">
        <v>1001</v>
      </c>
      <c r="P69" s="23" t="s">
        <v>94</v>
      </c>
      <c r="Q69" s="23"/>
      <c r="R69" s="26" t="s">
        <v>50</v>
      </c>
      <c r="S69" s="23"/>
      <c r="T69" s="26" t="s">
        <v>50</v>
      </c>
      <c r="U69" s="27" t="s">
        <v>95</v>
      </c>
      <c r="V69" s="40">
        <f t="shared" ref="V69:V132" si="7">F69</f>
        <v>3.54</v>
      </c>
      <c r="W69" s="40">
        <f t="shared" ref="W69:W132" si="8">C69-F69</f>
        <v>17.68</v>
      </c>
      <c r="X69" s="23" t="s">
        <v>92</v>
      </c>
      <c r="Y69" s="26" t="s">
        <v>50</v>
      </c>
      <c r="Z69" s="23"/>
      <c r="AA69" s="26" t="s">
        <v>50</v>
      </c>
      <c r="AB69" s="41">
        <f t="shared" ref="AB69:AB132" si="9">W69</f>
        <v>17.68</v>
      </c>
      <c r="AC69" s="23">
        <v>1</v>
      </c>
      <c r="AD69" s="23" t="s">
        <v>97</v>
      </c>
      <c r="AE69" s="24">
        <v>42277</v>
      </c>
      <c r="AF69" s="23" t="s">
        <v>92</v>
      </c>
      <c r="AG69" s="23">
        <f t="shared" ref="AG69:AG132" si="10">J69</f>
        <v>36408</v>
      </c>
      <c r="AH69" s="23"/>
      <c r="AI69" s="27" t="str">
        <f t="shared" si="6"/>
        <v>P20</v>
      </c>
      <c r="AJ69" s="23"/>
      <c r="AK69" s="23"/>
      <c r="AL69" s="26" t="s">
        <v>50</v>
      </c>
      <c r="AM69" s="28" t="s">
        <v>58</v>
      </c>
    </row>
    <row r="70" spans="1:39" x14ac:dyDescent="0.3">
      <c r="A70" t="s">
        <v>93</v>
      </c>
      <c r="B70" s="32">
        <v>42166</v>
      </c>
      <c r="C70" s="6">
        <v>190.57999999999998</v>
      </c>
      <c r="D70" t="s">
        <v>91</v>
      </c>
      <c r="E70" t="s">
        <v>46</v>
      </c>
      <c r="F70" s="6">
        <v>31.76</v>
      </c>
      <c r="G70" s="5">
        <f t="shared" ref="G70:G125" si="11">B70+30</f>
        <v>42196</v>
      </c>
      <c r="H70" s="5">
        <f t="shared" ref="H70:H125" si="12">B70</f>
        <v>42166</v>
      </c>
      <c r="I70">
        <v>0</v>
      </c>
      <c r="J70">
        <v>36539</v>
      </c>
      <c r="K70" t="s">
        <v>229</v>
      </c>
      <c r="M70" t="s">
        <v>172</v>
      </c>
      <c r="N70" s="23" t="s">
        <v>47</v>
      </c>
      <c r="O70" s="25">
        <v>1001</v>
      </c>
      <c r="P70" s="23" t="s">
        <v>94</v>
      </c>
      <c r="Q70" s="23"/>
      <c r="R70" s="26" t="s">
        <v>50</v>
      </c>
      <c r="S70" s="23"/>
      <c r="T70" s="26" t="s">
        <v>50</v>
      </c>
      <c r="U70" s="27" t="s">
        <v>95</v>
      </c>
      <c r="V70" s="40">
        <f t="shared" si="7"/>
        <v>31.76</v>
      </c>
      <c r="W70" s="40">
        <f t="shared" si="8"/>
        <v>158.82</v>
      </c>
      <c r="X70" s="23" t="s">
        <v>92</v>
      </c>
      <c r="Y70" s="26" t="s">
        <v>50</v>
      </c>
      <c r="Z70" s="23"/>
      <c r="AA70" s="26" t="s">
        <v>50</v>
      </c>
      <c r="AB70" s="41">
        <f t="shared" si="9"/>
        <v>158.82</v>
      </c>
      <c r="AC70" s="23">
        <v>1</v>
      </c>
      <c r="AD70" s="23" t="s">
        <v>97</v>
      </c>
      <c r="AE70" s="24">
        <v>42277</v>
      </c>
      <c r="AF70" s="23" t="s">
        <v>92</v>
      </c>
      <c r="AG70" s="23">
        <f t="shared" si="10"/>
        <v>36539</v>
      </c>
      <c r="AH70" s="23"/>
      <c r="AI70" s="27" t="str">
        <f t="shared" ref="AI70:AI133" si="13">U70</f>
        <v>P20</v>
      </c>
      <c r="AJ70" s="23"/>
      <c r="AK70" s="23"/>
      <c r="AL70" s="26" t="s">
        <v>50</v>
      </c>
      <c r="AM70" s="28" t="s">
        <v>58</v>
      </c>
    </row>
    <row r="71" spans="1:39" x14ac:dyDescent="0.3">
      <c r="A71" t="s">
        <v>93</v>
      </c>
      <c r="B71" s="32">
        <v>42167</v>
      </c>
      <c r="C71" s="6">
        <v>78.17</v>
      </c>
      <c r="D71" t="s">
        <v>91</v>
      </c>
      <c r="E71" t="s">
        <v>46</v>
      </c>
      <c r="F71" s="6">
        <v>13.03</v>
      </c>
      <c r="G71" s="5">
        <f t="shared" si="11"/>
        <v>42197</v>
      </c>
      <c r="H71" s="5">
        <f t="shared" si="12"/>
        <v>42167</v>
      </c>
      <c r="I71">
        <v>0</v>
      </c>
      <c r="J71">
        <v>36550</v>
      </c>
      <c r="K71" t="s">
        <v>229</v>
      </c>
      <c r="M71" t="s">
        <v>173</v>
      </c>
      <c r="N71" s="23" t="s">
        <v>47</v>
      </c>
      <c r="O71" s="25">
        <v>1001</v>
      </c>
      <c r="P71" s="23" t="s">
        <v>94</v>
      </c>
      <c r="Q71" s="23"/>
      <c r="R71" s="26" t="s">
        <v>50</v>
      </c>
      <c r="S71" s="23"/>
      <c r="T71" s="26" t="s">
        <v>50</v>
      </c>
      <c r="U71" s="27" t="s">
        <v>95</v>
      </c>
      <c r="V71" s="40">
        <f t="shared" si="7"/>
        <v>13.03</v>
      </c>
      <c r="W71" s="40">
        <f t="shared" si="8"/>
        <v>65.14</v>
      </c>
      <c r="X71" s="23" t="s">
        <v>92</v>
      </c>
      <c r="Y71" s="26" t="s">
        <v>50</v>
      </c>
      <c r="Z71" s="23"/>
      <c r="AA71" s="26" t="s">
        <v>50</v>
      </c>
      <c r="AB71" s="41">
        <f t="shared" si="9"/>
        <v>65.14</v>
      </c>
      <c r="AC71" s="23">
        <v>1</v>
      </c>
      <c r="AD71" s="23" t="s">
        <v>97</v>
      </c>
      <c r="AE71" s="24">
        <v>42277</v>
      </c>
      <c r="AF71" s="23" t="s">
        <v>92</v>
      </c>
      <c r="AG71" s="23">
        <f t="shared" si="10"/>
        <v>36550</v>
      </c>
      <c r="AH71" s="23"/>
      <c r="AI71" s="27" t="str">
        <f t="shared" si="13"/>
        <v>P20</v>
      </c>
      <c r="AJ71" s="23"/>
      <c r="AK71" s="23"/>
      <c r="AL71" s="26" t="s">
        <v>50</v>
      </c>
      <c r="AM71" s="28" t="s">
        <v>58</v>
      </c>
    </row>
    <row r="72" spans="1:39" x14ac:dyDescent="0.3">
      <c r="A72" t="s">
        <v>93</v>
      </c>
      <c r="B72" s="32">
        <v>42076</v>
      </c>
      <c r="C72" s="6">
        <v>26.68</v>
      </c>
      <c r="D72" t="s">
        <v>91</v>
      </c>
      <c r="E72" t="s">
        <v>46</v>
      </c>
      <c r="F72" s="6">
        <v>4.45</v>
      </c>
      <c r="G72" s="5">
        <f t="shared" si="11"/>
        <v>42106</v>
      </c>
      <c r="H72" s="5">
        <f t="shared" si="12"/>
        <v>42076</v>
      </c>
      <c r="I72">
        <v>0</v>
      </c>
      <c r="J72">
        <v>36622</v>
      </c>
      <c r="K72" t="s">
        <v>229</v>
      </c>
      <c r="M72" t="s">
        <v>174</v>
      </c>
      <c r="N72" s="23" t="s">
        <v>47</v>
      </c>
      <c r="O72" s="25">
        <v>1001</v>
      </c>
      <c r="P72" s="23" t="s">
        <v>94</v>
      </c>
      <c r="Q72" s="23"/>
      <c r="R72" s="26" t="s">
        <v>50</v>
      </c>
      <c r="S72" s="23"/>
      <c r="T72" s="26" t="s">
        <v>50</v>
      </c>
      <c r="U72" s="27" t="s">
        <v>95</v>
      </c>
      <c r="V72" s="40">
        <f t="shared" si="7"/>
        <v>4.45</v>
      </c>
      <c r="W72" s="40">
        <f t="shared" si="8"/>
        <v>22.23</v>
      </c>
      <c r="X72" s="23" t="s">
        <v>92</v>
      </c>
      <c r="Y72" s="26" t="s">
        <v>50</v>
      </c>
      <c r="Z72" s="23"/>
      <c r="AA72" s="26" t="s">
        <v>50</v>
      </c>
      <c r="AB72" s="41">
        <f t="shared" si="9"/>
        <v>22.23</v>
      </c>
      <c r="AC72" s="23">
        <v>1</v>
      </c>
      <c r="AD72" s="23" t="s">
        <v>97</v>
      </c>
      <c r="AE72" s="24">
        <v>42277</v>
      </c>
      <c r="AF72" s="23" t="s">
        <v>92</v>
      </c>
      <c r="AG72" s="23">
        <f t="shared" si="10"/>
        <v>36622</v>
      </c>
      <c r="AH72" s="23"/>
      <c r="AI72" s="27" t="str">
        <f t="shared" si="13"/>
        <v>P20</v>
      </c>
      <c r="AJ72" s="23"/>
      <c r="AK72" s="23"/>
      <c r="AL72" s="26" t="s">
        <v>50</v>
      </c>
      <c r="AM72" s="28" t="s">
        <v>58</v>
      </c>
    </row>
    <row r="73" spans="1:39" x14ac:dyDescent="0.3">
      <c r="A73" t="s">
        <v>93</v>
      </c>
      <c r="B73" s="32">
        <v>42171</v>
      </c>
      <c r="C73" s="6">
        <v>36.54</v>
      </c>
      <c r="D73" t="s">
        <v>91</v>
      </c>
      <c r="E73" t="s">
        <v>46</v>
      </c>
      <c r="F73" s="6">
        <v>6.09</v>
      </c>
      <c r="G73" s="5">
        <f t="shared" si="11"/>
        <v>42201</v>
      </c>
      <c r="H73" s="5">
        <f t="shared" si="12"/>
        <v>42171</v>
      </c>
      <c r="I73">
        <v>0</v>
      </c>
      <c r="J73">
        <v>36628</v>
      </c>
      <c r="K73" t="s">
        <v>229</v>
      </c>
      <c r="M73" t="s">
        <v>175</v>
      </c>
      <c r="N73" s="23" t="s">
        <v>47</v>
      </c>
      <c r="O73" s="25">
        <v>1001</v>
      </c>
      <c r="P73" s="23" t="s">
        <v>94</v>
      </c>
      <c r="Q73" s="23"/>
      <c r="R73" s="26" t="s">
        <v>50</v>
      </c>
      <c r="S73" s="23"/>
      <c r="T73" s="26" t="s">
        <v>50</v>
      </c>
      <c r="U73" s="27" t="s">
        <v>95</v>
      </c>
      <c r="V73" s="40">
        <f t="shared" si="7"/>
        <v>6.09</v>
      </c>
      <c r="W73" s="40">
        <f t="shared" si="8"/>
        <v>30.45</v>
      </c>
      <c r="X73" s="23" t="s">
        <v>92</v>
      </c>
      <c r="Y73" s="26" t="s">
        <v>50</v>
      </c>
      <c r="Z73" s="23"/>
      <c r="AA73" s="26" t="s">
        <v>50</v>
      </c>
      <c r="AB73" s="41">
        <f t="shared" si="9"/>
        <v>30.45</v>
      </c>
      <c r="AC73" s="23">
        <v>1</v>
      </c>
      <c r="AD73" s="23" t="s">
        <v>97</v>
      </c>
      <c r="AE73" s="24">
        <v>42277</v>
      </c>
      <c r="AF73" s="23" t="s">
        <v>92</v>
      </c>
      <c r="AG73" s="23">
        <f t="shared" si="10"/>
        <v>36628</v>
      </c>
      <c r="AH73" s="23"/>
      <c r="AI73" s="27" t="str">
        <f t="shared" si="13"/>
        <v>P20</v>
      </c>
      <c r="AJ73" s="23"/>
      <c r="AK73" s="23"/>
      <c r="AL73" s="26" t="s">
        <v>50</v>
      </c>
      <c r="AM73" s="28" t="s">
        <v>58</v>
      </c>
    </row>
    <row r="74" spans="1:39" x14ac:dyDescent="0.3">
      <c r="A74" t="s">
        <v>93</v>
      </c>
      <c r="B74" s="32">
        <v>42177</v>
      </c>
      <c r="C74" s="6">
        <v>87.49</v>
      </c>
      <c r="D74" t="s">
        <v>91</v>
      </c>
      <c r="E74" t="s">
        <v>46</v>
      </c>
      <c r="F74" s="6">
        <v>14.58</v>
      </c>
      <c r="G74" s="5">
        <f t="shared" si="11"/>
        <v>42207</v>
      </c>
      <c r="H74" s="5">
        <f t="shared" si="12"/>
        <v>42177</v>
      </c>
      <c r="I74">
        <v>0</v>
      </c>
      <c r="J74">
        <v>36645</v>
      </c>
      <c r="K74" t="s">
        <v>229</v>
      </c>
      <c r="M74" t="s">
        <v>176</v>
      </c>
      <c r="N74" s="23" t="s">
        <v>47</v>
      </c>
      <c r="O74" s="25">
        <v>1001</v>
      </c>
      <c r="P74" s="23" t="s">
        <v>94</v>
      </c>
      <c r="Q74" s="23"/>
      <c r="R74" s="26" t="s">
        <v>50</v>
      </c>
      <c r="S74" s="23"/>
      <c r="T74" s="26" t="s">
        <v>50</v>
      </c>
      <c r="U74" s="27" t="s">
        <v>95</v>
      </c>
      <c r="V74" s="40">
        <f t="shared" si="7"/>
        <v>14.58</v>
      </c>
      <c r="W74" s="40">
        <f t="shared" si="8"/>
        <v>72.91</v>
      </c>
      <c r="X74" s="23" t="s">
        <v>92</v>
      </c>
      <c r="Y74" s="26" t="s">
        <v>50</v>
      </c>
      <c r="Z74" s="23"/>
      <c r="AA74" s="26" t="s">
        <v>50</v>
      </c>
      <c r="AB74" s="41">
        <f t="shared" si="9"/>
        <v>72.91</v>
      </c>
      <c r="AC74" s="23">
        <v>1</v>
      </c>
      <c r="AD74" s="23" t="s">
        <v>97</v>
      </c>
      <c r="AE74" s="24">
        <v>42277</v>
      </c>
      <c r="AF74" s="23" t="s">
        <v>92</v>
      </c>
      <c r="AG74" s="23">
        <f t="shared" si="10"/>
        <v>36645</v>
      </c>
      <c r="AH74" s="23"/>
      <c r="AI74" s="27" t="str">
        <f t="shared" si="13"/>
        <v>P20</v>
      </c>
      <c r="AJ74" s="23"/>
      <c r="AK74" s="23"/>
      <c r="AL74" s="26" t="s">
        <v>50</v>
      </c>
      <c r="AM74" s="28" t="s">
        <v>58</v>
      </c>
    </row>
    <row r="75" spans="1:39" x14ac:dyDescent="0.3">
      <c r="A75" t="s">
        <v>93</v>
      </c>
      <c r="B75" s="32">
        <v>42170</v>
      </c>
      <c r="C75" s="6">
        <v>4.78</v>
      </c>
      <c r="D75" t="s">
        <v>91</v>
      </c>
      <c r="E75" t="s">
        <v>46</v>
      </c>
      <c r="F75" s="6">
        <v>0.8</v>
      </c>
      <c r="G75" s="5">
        <f t="shared" si="11"/>
        <v>42200</v>
      </c>
      <c r="H75" s="5">
        <f t="shared" si="12"/>
        <v>42170</v>
      </c>
      <c r="I75">
        <v>0</v>
      </c>
      <c r="J75">
        <v>36623</v>
      </c>
      <c r="K75" t="s">
        <v>229</v>
      </c>
      <c r="M75" t="s">
        <v>177</v>
      </c>
      <c r="N75" s="23" t="s">
        <v>47</v>
      </c>
      <c r="O75" s="25">
        <v>1001</v>
      </c>
      <c r="P75" s="23" t="s">
        <v>94</v>
      </c>
      <c r="Q75" s="23"/>
      <c r="R75" s="26" t="s">
        <v>50</v>
      </c>
      <c r="S75" s="23"/>
      <c r="T75" s="26" t="s">
        <v>50</v>
      </c>
      <c r="U75" s="27" t="s">
        <v>95</v>
      </c>
      <c r="V75" s="40">
        <f t="shared" si="7"/>
        <v>0.8</v>
      </c>
      <c r="W75" s="40">
        <f t="shared" si="8"/>
        <v>3.9800000000000004</v>
      </c>
      <c r="X75" s="23" t="s">
        <v>92</v>
      </c>
      <c r="Y75" s="26" t="s">
        <v>50</v>
      </c>
      <c r="Z75" s="23"/>
      <c r="AA75" s="26" t="s">
        <v>50</v>
      </c>
      <c r="AB75" s="41">
        <f t="shared" si="9"/>
        <v>3.9800000000000004</v>
      </c>
      <c r="AC75" s="23">
        <v>1</v>
      </c>
      <c r="AD75" s="23" t="s">
        <v>97</v>
      </c>
      <c r="AE75" s="24">
        <v>42277</v>
      </c>
      <c r="AF75" s="23" t="s">
        <v>92</v>
      </c>
      <c r="AG75" s="23">
        <f t="shared" si="10"/>
        <v>36623</v>
      </c>
      <c r="AH75" s="23"/>
      <c r="AI75" s="27" t="str">
        <f t="shared" si="13"/>
        <v>P20</v>
      </c>
      <c r="AJ75" s="23"/>
      <c r="AK75" s="23"/>
      <c r="AL75" s="26" t="s">
        <v>50</v>
      </c>
      <c r="AM75" s="28" t="s">
        <v>58</v>
      </c>
    </row>
    <row r="76" spans="1:39" x14ac:dyDescent="0.3">
      <c r="A76" t="s">
        <v>93</v>
      </c>
      <c r="B76" s="32">
        <v>42184</v>
      </c>
      <c r="C76" s="6">
        <v>12.73</v>
      </c>
      <c r="D76" t="s">
        <v>91</v>
      </c>
      <c r="E76" t="s">
        <v>46</v>
      </c>
      <c r="F76" s="6">
        <v>2.12</v>
      </c>
      <c r="G76" s="5">
        <f t="shared" si="11"/>
        <v>42214</v>
      </c>
      <c r="H76" s="5">
        <f t="shared" si="12"/>
        <v>42184</v>
      </c>
      <c r="I76">
        <v>0</v>
      </c>
      <c r="J76">
        <v>36919</v>
      </c>
      <c r="K76" t="s">
        <v>229</v>
      </c>
      <c r="M76" t="s">
        <v>178</v>
      </c>
      <c r="N76" s="23" t="s">
        <v>47</v>
      </c>
      <c r="O76" s="25">
        <v>1001</v>
      </c>
      <c r="P76" s="23" t="s">
        <v>94</v>
      </c>
      <c r="Q76" s="23"/>
      <c r="R76" s="26" t="s">
        <v>50</v>
      </c>
      <c r="S76" s="23"/>
      <c r="T76" s="26" t="s">
        <v>50</v>
      </c>
      <c r="U76" s="27" t="s">
        <v>95</v>
      </c>
      <c r="V76" s="40">
        <f t="shared" si="7"/>
        <v>2.12</v>
      </c>
      <c r="W76" s="40">
        <f t="shared" si="8"/>
        <v>10.61</v>
      </c>
      <c r="X76" s="23" t="s">
        <v>92</v>
      </c>
      <c r="Y76" s="26" t="s">
        <v>50</v>
      </c>
      <c r="Z76" s="23"/>
      <c r="AA76" s="26" t="s">
        <v>50</v>
      </c>
      <c r="AB76" s="41">
        <f t="shared" si="9"/>
        <v>10.61</v>
      </c>
      <c r="AC76" s="23">
        <v>1</v>
      </c>
      <c r="AD76" s="23" t="s">
        <v>97</v>
      </c>
      <c r="AE76" s="24">
        <v>42277</v>
      </c>
      <c r="AF76" s="23" t="s">
        <v>92</v>
      </c>
      <c r="AG76" s="23">
        <f t="shared" si="10"/>
        <v>36919</v>
      </c>
      <c r="AH76" s="23"/>
      <c r="AI76" s="27" t="str">
        <f t="shared" si="13"/>
        <v>P20</v>
      </c>
      <c r="AJ76" s="23"/>
      <c r="AK76" s="23"/>
      <c r="AL76" s="26" t="s">
        <v>50</v>
      </c>
      <c r="AM76" s="28" t="s">
        <v>58</v>
      </c>
    </row>
    <row r="77" spans="1:39" x14ac:dyDescent="0.3">
      <c r="A77" t="s">
        <v>93</v>
      </c>
      <c r="B77" s="32">
        <v>42170</v>
      </c>
      <c r="C77" s="6">
        <v>182.35000000000002</v>
      </c>
      <c r="D77" t="s">
        <v>91</v>
      </c>
      <c r="E77" t="s">
        <v>46</v>
      </c>
      <c r="F77" s="6">
        <v>30.39</v>
      </c>
      <c r="G77" s="5">
        <f t="shared" si="11"/>
        <v>42200</v>
      </c>
      <c r="H77" s="5">
        <f t="shared" si="12"/>
        <v>42170</v>
      </c>
      <c r="I77">
        <v>0</v>
      </c>
      <c r="J77">
        <v>36624</v>
      </c>
      <c r="K77" t="s">
        <v>229</v>
      </c>
      <c r="M77" t="s">
        <v>179</v>
      </c>
      <c r="N77" s="23" t="s">
        <v>47</v>
      </c>
      <c r="O77" s="25">
        <v>1001</v>
      </c>
      <c r="P77" s="23" t="s">
        <v>94</v>
      </c>
      <c r="Q77" s="23"/>
      <c r="R77" s="26" t="s">
        <v>50</v>
      </c>
      <c r="S77" s="23"/>
      <c r="T77" s="26" t="s">
        <v>50</v>
      </c>
      <c r="U77" s="27" t="s">
        <v>95</v>
      </c>
      <c r="V77" s="40">
        <f t="shared" si="7"/>
        <v>30.39</v>
      </c>
      <c r="W77" s="40">
        <f t="shared" si="8"/>
        <v>151.96000000000004</v>
      </c>
      <c r="X77" s="23" t="s">
        <v>92</v>
      </c>
      <c r="Y77" s="26" t="s">
        <v>50</v>
      </c>
      <c r="Z77" s="23"/>
      <c r="AA77" s="26" t="s">
        <v>50</v>
      </c>
      <c r="AB77" s="41">
        <f t="shared" si="9"/>
        <v>151.96000000000004</v>
      </c>
      <c r="AC77" s="23">
        <v>1</v>
      </c>
      <c r="AD77" s="23" t="s">
        <v>97</v>
      </c>
      <c r="AE77" s="24">
        <v>42277</v>
      </c>
      <c r="AF77" s="23" t="s">
        <v>92</v>
      </c>
      <c r="AG77" s="23">
        <f t="shared" si="10"/>
        <v>36624</v>
      </c>
      <c r="AH77" s="23"/>
      <c r="AI77" s="27" t="str">
        <f t="shared" si="13"/>
        <v>P20</v>
      </c>
      <c r="AJ77" s="23"/>
      <c r="AK77" s="23"/>
      <c r="AL77" s="26" t="s">
        <v>50</v>
      </c>
      <c r="AM77" s="28" t="s">
        <v>58</v>
      </c>
    </row>
    <row r="78" spans="1:39" x14ac:dyDescent="0.3">
      <c r="A78" t="s">
        <v>93</v>
      </c>
      <c r="B78" s="32">
        <v>42173</v>
      </c>
      <c r="C78" s="6">
        <v>108</v>
      </c>
      <c r="D78" t="s">
        <v>91</v>
      </c>
      <c r="E78" t="s">
        <v>46</v>
      </c>
      <c r="F78" s="6">
        <v>18</v>
      </c>
      <c r="G78" s="5">
        <f t="shared" si="11"/>
        <v>42203</v>
      </c>
      <c r="H78" s="5">
        <f t="shared" si="12"/>
        <v>42173</v>
      </c>
      <c r="I78">
        <v>0</v>
      </c>
      <c r="J78">
        <v>36634</v>
      </c>
      <c r="K78" t="s">
        <v>229</v>
      </c>
      <c r="M78" t="s">
        <v>180</v>
      </c>
      <c r="N78" s="23" t="s">
        <v>47</v>
      </c>
      <c r="O78" s="25">
        <v>1001</v>
      </c>
      <c r="P78" s="23" t="s">
        <v>94</v>
      </c>
      <c r="Q78" s="23"/>
      <c r="R78" s="26" t="s">
        <v>50</v>
      </c>
      <c r="S78" s="23"/>
      <c r="T78" s="26" t="s">
        <v>50</v>
      </c>
      <c r="U78" s="27" t="s">
        <v>95</v>
      </c>
      <c r="V78" s="40">
        <f t="shared" si="7"/>
        <v>18</v>
      </c>
      <c r="W78" s="40">
        <f t="shared" si="8"/>
        <v>90</v>
      </c>
      <c r="X78" s="23" t="s">
        <v>92</v>
      </c>
      <c r="Y78" s="26" t="s">
        <v>50</v>
      </c>
      <c r="Z78" s="23"/>
      <c r="AA78" s="26" t="s">
        <v>50</v>
      </c>
      <c r="AB78" s="41">
        <f t="shared" si="9"/>
        <v>90</v>
      </c>
      <c r="AC78" s="23">
        <v>1</v>
      </c>
      <c r="AD78" s="23" t="s">
        <v>97</v>
      </c>
      <c r="AE78" s="24">
        <v>42277</v>
      </c>
      <c r="AF78" s="23" t="s">
        <v>92</v>
      </c>
      <c r="AG78" s="23">
        <f t="shared" si="10"/>
        <v>36634</v>
      </c>
      <c r="AH78" s="23"/>
      <c r="AI78" s="27" t="str">
        <f t="shared" si="13"/>
        <v>P20</v>
      </c>
      <c r="AJ78" s="23"/>
      <c r="AK78" s="23"/>
      <c r="AL78" s="26" t="s">
        <v>50</v>
      </c>
      <c r="AM78" s="28" t="s">
        <v>58</v>
      </c>
    </row>
    <row r="79" spans="1:39" x14ac:dyDescent="0.3">
      <c r="A79" t="s">
        <v>93</v>
      </c>
      <c r="B79" s="32">
        <v>42158</v>
      </c>
      <c r="C79" s="6">
        <v>815.94</v>
      </c>
      <c r="D79" t="s">
        <v>91</v>
      </c>
      <c r="E79" t="s">
        <v>46</v>
      </c>
      <c r="F79" s="6">
        <v>135.97999999999999</v>
      </c>
      <c r="G79" s="5">
        <f t="shared" si="11"/>
        <v>42188</v>
      </c>
      <c r="H79" s="5">
        <f t="shared" si="12"/>
        <v>42158</v>
      </c>
      <c r="I79">
        <v>0</v>
      </c>
      <c r="J79">
        <v>36407</v>
      </c>
      <c r="K79" t="s">
        <v>229</v>
      </c>
      <c r="M79" t="s">
        <v>181</v>
      </c>
      <c r="N79" s="23" t="s">
        <v>47</v>
      </c>
      <c r="O79" s="25">
        <v>1001</v>
      </c>
      <c r="P79" s="23" t="s">
        <v>94</v>
      </c>
      <c r="Q79" s="23"/>
      <c r="R79" s="26" t="s">
        <v>50</v>
      </c>
      <c r="S79" s="23"/>
      <c r="T79" s="26" t="s">
        <v>50</v>
      </c>
      <c r="U79" s="27" t="s">
        <v>95</v>
      </c>
      <c r="V79" s="40">
        <f t="shared" si="7"/>
        <v>135.97999999999999</v>
      </c>
      <c r="W79" s="40">
        <f t="shared" si="8"/>
        <v>679.96</v>
      </c>
      <c r="X79" s="23" t="s">
        <v>92</v>
      </c>
      <c r="Y79" s="26" t="s">
        <v>50</v>
      </c>
      <c r="Z79" s="23"/>
      <c r="AA79" s="26" t="s">
        <v>50</v>
      </c>
      <c r="AB79" s="41">
        <f t="shared" si="9"/>
        <v>679.96</v>
      </c>
      <c r="AC79" s="23">
        <v>1</v>
      </c>
      <c r="AD79" s="23" t="s">
        <v>97</v>
      </c>
      <c r="AE79" s="24">
        <v>42277</v>
      </c>
      <c r="AF79" s="23" t="s">
        <v>92</v>
      </c>
      <c r="AG79" s="23">
        <f t="shared" si="10"/>
        <v>36407</v>
      </c>
      <c r="AH79" s="23"/>
      <c r="AI79" s="27" t="str">
        <f t="shared" si="13"/>
        <v>P20</v>
      </c>
      <c r="AJ79" s="23"/>
      <c r="AK79" s="23"/>
      <c r="AL79" s="26" t="s">
        <v>50</v>
      </c>
      <c r="AM79" s="28" t="s">
        <v>58</v>
      </c>
    </row>
    <row r="80" spans="1:39" x14ac:dyDescent="0.3">
      <c r="A80" t="s">
        <v>93</v>
      </c>
      <c r="B80" s="32">
        <v>42166</v>
      </c>
      <c r="C80" s="6">
        <v>853.69999999999993</v>
      </c>
      <c r="D80" t="s">
        <v>91</v>
      </c>
      <c r="E80" t="s">
        <v>46</v>
      </c>
      <c r="F80" s="6">
        <v>142.28</v>
      </c>
      <c r="G80" s="5">
        <f t="shared" si="11"/>
        <v>42196</v>
      </c>
      <c r="H80" s="5">
        <f t="shared" si="12"/>
        <v>42166</v>
      </c>
      <c r="I80">
        <v>0</v>
      </c>
      <c r="J80">
        <v>36540</v>
      </c>
      <c r="K80" t="s">
        <v>229</v>
      </c>
      <c r="M80" t="s">
        <v>182</v>
      </c>
      <c r="N80" s="23" t="s">
        <v>47</v>
      </c>
      <c r="O80" s="25">
        <v>1001</v>
      </c>
      <c r="P80" s="23" t="s">
        <v>94</v>
      </c>
      <c r="Q80" s="23"/>
      <c r="R80" s="26" t="s">
        <v>50</v>
      </c>
      <c r="S80" s="23"/>
      <c r="T80" s="26" t="s">
        <v>50</v>
      </c>
      <c r="U80" s="27" t="s">
        <v>95</v>
      </c>
      <c r="V80" s="40">
        <f t="shared" si="7"/>
        <v>142.28</v>
      </c>
      <c r="W80" s="40">
        <f t="shared" si="8"/>
        <v>711.42</v>
      </c>
      <c r="X80" s="23" t="s">
        <v>92</v>
      </c>
      <c r="Y80" s="26" t="s">
        <v>50</v>
      </c>
      <c r="Z80" s="23"/>
      <c r="AA80" s="26" t="s">
        <v>50</v>
      </c>
      <c r="AB80" s="41">
        <f t="shared" si="9"/>
        <v>711.42</v>
      </c>
      <c r="AC80" s="23">
        <v>1</v>
      </c>
      <c r="AD80" s="23" t="s">
        <v>97</v>
      </c>
      <c r="AE80" s="24">
        <v>42277</v>
      </c>
      <c r="AF80" s="23" t="s">
        <v>92</v>
      </c>
      <c r="AG80" s="23">
        <f t="shared" si="10"/>
        <v>36540</v>
      </c>
      <c r="AH80" s="23"/>
      <c r="AI80" s="27" t="str">
        <f t="shared" si="13"/>
        <v>P20</v>
      </c>
      <c r="AJ80" s="23"/>
      <c r="AK80" s="23"/>
      <c r="AL80" s="26" t="s">
        <v>50</v>
      </c>
      <c r="AM80" s="28" t="s">
        <v>58</v>
      </c>
    </row>
    <row r="81" spans="1:39" x14ac:dyDescent="0.3">
      <c r="A81" t="s">
        <v>93</v>
      </c>
      <c r="B81" s="32">
        <v>42166</v>
      </c>
      <c r="C81" s="6">
        <v>1099.78</v>
      </c>
      <c r="D81" t="s">
        <v>91</v>
      </c>
      <c r="E81" t="s">
        <v>46</v>
      </c>
      <c r="F81" s="6">
        <v>183.3</v>
      </c>
      <c r="G81" s="5">
        <f t="shared" si="11"/>
        <v>42196</v>
      </c>
      <c r="H81" s="5">
        <f t="shared" si="12"/>
        <v>42166</v>
      </c>
      <c r="I81">
        <v>0</v>
      </c>
      <c r="J81">
        <v>36541</v>
      </c>
      <c r="K81" t="s">
        <v>229</v>
      </c>
      <c r="M81" t="s">
        <v>183</v>
      </c>
      <c r="N81" s="23" t="s">
        <v>47</v>
      </c>
      <c r="O81" s="25">
        <v>1001</v>
      </c>
      <c r="P81" s="23" t="s">
        <v>94</v>
      </c>
      <c r="Q81" s="23"/>
      <c r="R81" s="26" t="s">
        <v>50</v>
      </c>
      <c r="S81" s="23"/>
      <c r="T81" s="26" t="s">
        <v>50</v>
      </c>
      <c r="U81" s="27" t="s">
        <v>95</v>
      </c>
      <c r="V81" s="40">
        <f t="shared" si="7"/>
        <v>183.3</v>
      </c>
      <c r="W81" s="40">
        <f t="shared" si="8"/>
        <v>916.48</v>
      </c>
      <c r="X81" s="23" t="s">
        <v>92</v>
      </c>
      <c r="Y81" s="26" t="s">
        <v>50</v>
      </c>
      <c r="Z81" s="23"/>
      <c r="AA81" s="26" t="s">
        <v>50</v>
      </c>
      <c r="AB81" s="41">
        <f t="shared" si="9"/>
        <v>916.48</v>
      </c>
      <c r="AC81" s="23">
        <v>1</v>
      </c>
      <c r="AD81" s="23" t="s">
        <v>97</v>
      </c>
      <c r="AE81" s="24">
        <v>42277</v>
      </c>
      <c r="AF81" s="23" t="s">
        <v>92</v>
      </c>
      <c r="AG81" s="23">
        <f t="shared" si="10"/>
        <v>36541</v>
      </c>
      <c r="AH81" s="23"/>
      <c r="AI81" s="27" t="str">
        <f t="shared" si="13"/>
        <v>P20</v>
      </c>
      <c r="AJ81" s="23"/>
      <c r="AK81" s="23"/>
      <c r="AL81" s="26" t="s">
        <v>50</v>
      </c>
      <c r="AM81" s="28" t="s">
        <v>58</v>
      </c>
    </row>
    <row r="82" spans="1:39" x14ac:dyDescent="0.3">
      <c r="A82" t="s">
        <v>93</v>
      </c>
      <c r="B82" s="32">
        <v>42166</v>
      </c>
      <c r="C82" s="6">
        <v>355.88</v>
      </c>
      <c r="D82" t="s">
        <v>91</v>
      </c>
      <c r="E82" t="s">
        <v>46</v>
      </c>
      <c r="F82" s="6">
        <v>59.32</v>
      </c>
      <c r="G82" s="5">
        <f t="shared" si="11"/>
        <v>42196</v>
      </c>
      <c r="H82" s="5">
        <f t="shared" si="12"/>
        <v>42166</v>
      </c>
      <c r="I82">
        <v>0</v>
      </c>
      <c r="J82">
        <v>36542</v>
      </c>
      <c r="K82" t="s">
        <v>229</v>
      </c>
      <c r="M82" t="s">
        <v>184</v>
      </c>
      <c r="N82" s="23" t="s">
        <v>47</v>
      </c>
      <c r="O82" s="25">
        <v>1001</v>
      </c>
      <c r="P82" s="23" t="s">
        <v>94</v>
      </c>
      <c r="Q82" s="23"/>
      <c r="R82" s="26" t="s">
        <v>50</v>
      </c>
      <c r="S82" s="23"/>
      <c r="T82" s="26" t="s">
        <v>50</v>
      </c>
      <c r="U82" s="27" t="s">
        <v>95</v>
      </c>
      <c r="V82" s="40">
        <f t="shared" si="7"/>
        <v>59.32</v>
      </c>
      <c r="W82" s="40">
        <f t="shared" si="8"/>
        <v>296.56</v>
      </c>
      <c r="X82" s="23" t="s">
        <v>92</v>
      </c>
      <c r="Y82" s="26" t="s">
        <v>50</v>
      </c>
      <c r="Z82" s="23"/>
      <c r="AA82" s="26" t="s">
        <v>50</v>
      </c>
      <c r="AB82" s="41">
        <f t="shared" si="9"/>
        <v>296.56</v>
      </c>
      <c r="AC82" s="23">
        <v>1</v>
      </c>
      <c r="AD82" s="23" t="s">
        <v>97</v>
      </c>
      <c r="AE82" s="24">
        <v>42277</v>
      </c>
      <c r="AF82" s="23" t="s">
        <v>92</v>
      </c>
      <c r="AG82" s="23">
        <f t="shared" si="10"/>
        <v>36542</v>
      </c>
      <c r="AH82" s="23"/>
      <c r="AI82" s="27" t="str">
        <f t="shared" si="13"/>
        <v>P20</v>
      </c>
      <c r="AJ82" s="23"/>
      <c r="AK82" s="23"/>
      <c r="AL82" s="26" t="s">
        <v>50</v>
      </c>
      <c r="AM82" s="28" t="s">
        <v>58</v>
      </c>
    </row>
    <row r="83" spans="1:39" x14ac:dyDescent="0.3">
      <c r="A83" t="s">
        <v>93</v>
      </c>
      <c r="B83" s="32">
        <v>42166</v>
      </c>
      <c r="C83" s="6">
        <v>71.78</v>
      </c>
      <c r="D83" t="s">
        <v>91</v>
      </c>
      <c r="E83" t="s">
        <v>46</v>
      </c>
      <c r="F83" s="6">
        <v>11.96</v>
      </c>
      <c r="G83" s="5">
        <f t="shared" si="11"/>
        <v>42196</v>
      </c>
      <c r="H83" s="5">
        <f t="shared" si="12"/>
        <v>42166</v>
      </c>
      <c r="I83">
        <v>0</v>
      </c>
      <c r="J83">
        <v>36537</v>
      </c>
      <c r="K83" t="s">
        <v>229</v>
      </c>
      <c r="M83" t="s">
        <v>185</v>
      </c>
      <c r="N83" s="23" t="s">
        <v>47</v>
      </c>
      <c r="O83" s="25">
        <v>1001</v>
      </c>
      <c r="P83" s="23" t="s">
        <v>94</v>
      </c>
      <c r="Q83" s="23"/>
      <c r="R83" s="26" t="s">
        <v>50</v>
      </c>
      <c r="S83" s="23"/>
      <c r="T83" s="26" t="s">
        <v>50</v>
      </c>
      <c r="U83" s="27" t="s">
        <v>95</v>
      </c>
      <c r="V83" s="40">
        <f t="shared" si="7"/>
        <v>11.96</v>
      </c>
      <c r="W83" s="40">
        <f t="shared" si="8"/>
        <v>59.82</v>
      </c>
      <c r="X83" s="23" t="s">
        <v>92</v>
      </c>
      <c r="Y83" s="26" t="s">
        <v>50</v>
      </c>
      <c r="Z83" s="23"/>
      <c r="AA83" s="26" t="s">
        <v>50</v>
      </c>
      <c r="AB83" s="41">
        <f t="shared" si="9"/>
        <v>59.82</v>
      </c>
      <c r="AC83" s="23">
        <v>1</v>
      </c>
      <c r="AD83" s="23" t="s">
        <v>97</v>
      </c>
      <c r="AE83" s="24">
        <v>42277</v>
      </c>
      <c r="AF83" s="23" t="s">
        <v>92</v>
      </c>
      <c r="AG83" s="23">
        <f t="shared" si="10"/>
        <v>36537</v>
      </c>
      <c r="AH83" s="23"/>
      <c r="AI83" s="27" t="str">
        <f t="shared" si="13"/>
        <v>P20</v>
      </c>
      <c r="AJ83" s="23"/>
      <c r="AK83" s="23"/>
      <c r="AL83" s="26" t="s">
        <v>50</v>
      </c>
      <c r="AM83" s="28" t="s">
        <v>58</v>
      </c>
    </row>
    <row r="84" spans="1:39" x14ac:dyDescent="0.3">
      <c r="A84" t="s">
        <v>93</v>
      </c>
      <c r="B84" s="32">
        <v>42167</v>
      </c>
      <c r="C84" s="6">
        <v>717.6</v>
      </c>
      <c r="D84" t="s">
        <v>91</v>
      </c>
      <c r="E84" t="s">
        <v>46</v>
      </c>
      <c r="F84" s="6">
        <v>119.6</v>
      </c>
      <c r="G84" s="5">
        <f t="shared" si="11"/>
        <v>42197</v>
      </c>
      <c r="H84" s="5">
        <f t="shared" si="12"/>
        <v>42167</v>
      </c>
      <c r="I84">
        <v>0</v>
      </c>
      <c r="J84">
        <v>36559</v>
      </c>
      <c r="K84" t="s">
        <v>229</v>
      </c>
      <c r="M84" t="s">
        <v>186</v>
      </c>
      <c r="N84" s="23" t="s">
        <v>47</v>
      </c>
      <c r="O84" s="25">
        <v>1001</v>
      </c>
      <c r="P84" s="23" t="s">
        <v>94</v>
      </c>
      <c r="Q84" s="23"/>
      <c r="R84" s="26" t="s">
        <v>50</v>
      </c>
      <c r="S84" s="23"/>
      <c r="T84" s="26" t="s">
        <v>50</v>
      </c>
      <c r="U84" s="27" t="s">
        <v>95</v>
      </c>
      <c r="V84" s="40">
        <f t="shared" si="7"/>
        <v>119.6</v>
      </c>
      <c r="W84" s="40">
        <f t="shared" si="8"/>
        <v>598</v>
      </c>
      <c r="X84" s="23" t="s">
        <v>92</v>
      </c>
      <c r="Y84" s="26" t="s">
        <v>50</v>
      </c>
      <c r="Z84" s="23"/>
      <c r="AA84" s="26" t="s">
        <v>50</v>
      </c>
      <c r="AB84" s="41">
        <f t="shared" si="9"/>
        <v>598</v>
      </c>
      <c r="AC84" s="23">
        <v>1</v>
      </c>
      <c r="AD84" s="23" t="s">
        <v>97</v>
      </c>
      <c r="AE84" s="24">
        <v>42277</v>
      </c>
      <c r="AF84" s="23" t="s">
        <v>92</v>
      </c>
      <c r="AG84" s="23">
        <f t="shared" si="10"/>
        <v>36559</v>
      </c>
      <c r="AH84" s="23"/>
      <c r="AI84" s="27" t="str">
        <f t="shared" si="13"/>
        <v>P20</v>
      </c>
      <c r="AJ84" s="23"/>
      <c r="AK84" s="23"/>
      <c r="AL84" s="26" t="s">
        <v>50</v>
      </c>
      <c r="AM84" s="28" t="s">
        <v>58</v>
      </c>
    </row>
    <row r="85" spans="1:39" x14ac:dyDescent="0.3">
      <c r="A85" t="s">
        <v>93</v>
      </c>
      <c r="B85" s="32">
        <v>42167</v>
      </c>
      <c r="C85" s="6">
        <v>624</v>
      </c>
      <c r="D85" t="s">
        <v>91</v>
      </c>
      <c r="E85" t="s">
        <v>46</v>
      </c>
      <c r="F85" s="6">
        <v>104</v>
      </c>
      <c r="G85" s="5">
        <f t="shared" si="11"/>
        <v>42197</v>
      </c>
      <c r="H85" s="5">
        <f t="shared" si="12"/>
        <v>42167</v>
      </c>
      <c r="I85">
        <v>0</v>
      </c>
      <c r="J85">
        <v>36560</v>
      </c>
      <c r="K85" t="s">
        <v>229</v>
      </c>
      <c r="M85" t="s">
        <v>187</v>
      </c>
      <c r="N85" s="23" t="s">
        <v>47</v>
      </c>
      <c r="O85" s="25">
        <v>1001</v>
      </c>
      <c r="P85" s="23" t="s">
        <v>94</v>
      </c>
      <c r="Q85" s="23"/>
      <c r="R85" s="26" t="s">
        <v>50</v>
      </c>
      <c r="S85" s="23"/>
      <c r="T85" s="26" t="s">
        <v>50</v>
      </c>
      <c r="U85" s="27" t="s">
        <v>95</v>
      </c>
      <c r="V85" s="40">
        <f t="shared" si="7"/>
        <v>104</v>
      </c>
      <c r="W85" s="40">
        <f t="shared" si="8"/>
        <v>520</v>
      </c>
      <c r="X85" s="23" t="s">
        <v>92</v>
      </c>
      <c r="Y85" s="26" t="s">
        <v>50</v>
      </c>
      <c r="Z85" s="23"/>
      <c r="AA85" s="26" t="s">
        <v>50</v>
      </c>
      <c r="AB85" s="41">
        <f t="shared" si="9"/>
        <v>520</v>
      </c>
      <c r="AC85" s="23">
        <v>1</v>
      </c>
      <c r="AD85" s="23" t="s">
        <v>97</v>
      </c>
      <c r="AE85" s="24">
        <v>42277</v>
      </c>
      <c r="AF85" s="23" t="s">
        <v>92</v>
      </c>
      <c r="AG85" s="23">
        <f t="shared" si="10"/>
        <v>36560</v>
      </c>
      <c r="AH85" s="23"/>
      <c r="AI85" s="27" t="str">
        <f t="shared" si="13"/>
        <v>P20</v>
      </c>
      <c r="AJ85" s="23"/>
      <c r="AK85" s="23"/>
      <c r="AL85" s="26" t="s">
        <v>50</v>
      </c>
      <c r="AM85" s="28" t="s">
        <v>58</v>
      </c>
    </row>
    <row r="86" spans="1:39" x14ac:dyDescent="0.3">
      <c r="A86" t="s">
        <v>93</v>
      </c>
      <c r="B86" s="32">
        <v>42167</v>
      </c>
      <c r="C86" s="6">
        <v>125.05</v>
      </c>
      <c r="D86" t="s">
        <v>91</v>
      </c>
      <c r="E86" t="s">
        <v>46</v>
      </c>
      <c r="F86" s="6">
        <v>20.84</v>
      </c>
      <c r="G86" s="5">
        <f t="shared" si="11"/>
        <v>42197</v>
      </c>
      <c r="H86" s="5">
        <f t="shared" si="12"/>
        <v>42167</v>
      </c>
      <c r="I86">
        <v>0</v>
      </c>
      <c r="J86">
        <v>36544</v>
      </c>
      <c r="K86" t="s">
        <v>229</v>
      </c>
      <c r="M86" t="s">
        <v>188</v>
      </c>
      <c r="N86" s="23" t="s">
        <v>47</v>
      </c>
      <c r="O86" s="25">
        <v>1001</v>
      </c>
      <c r="P86" s="23" t="s">
        <v>94</v>
      </c>
      <c r="Q86" s="23"/>
      <c r="R86" s="26" t="s">
        <v>50</v>
      </c>
      <c r="S86" s="23"/>
      <c r="T86" s="26" t="s">
        <v>50</v>
      </c>
      <c r="U86" s="27" t="s">
        <v>95</v>
      </c>
      <c r="V86" s="40">
        <f t="shared" si="7"/>
        <v>20.84</v>
      </c>
      <c r="W86" s="40">
        <f t="shared" si="8"/>
        <v>104.21</v>
      </c>
      <c r="X86" s="23" t="s">
        <v>92</v>
      </c>
      <c r="Y86" s="26" t="s">
        <v>50</v>
      </c>
      <c r="Z86" s="23"/>
      <c r="AA86" s="26" t="s">
        <v>50</v>
      </c>
      <c r="AB86" s="41">
        <f t="shared" si="9"/>
        <v>104.21</v>
      </c>
      <c r="AC86" s="23">
        <v>1</v>
      </c>
      <c r="AD86" s="23" t="s">
        <v>97</v>
      </c>
      <c r="AE86" s="24">
        <v>42277</v>
      </c>
      <c r="AF86" s="23" t="s">
        <v>92</v>
      </c>
      <c r="AG86" s="23">
        <f t="shared" si="10"/>
        <v>36544</v>
      </c>
      <c r="AH86" s="23"/>
      <c r="AI86" s="27" t="str">
        <f t="shared" si="13"/>
        <v>P20</v>
      </c>
      <c r="AJ86" s="23"/>
      <c r="AK86" s="23"/>
      <c r="AL86" s="26" t="s">
        <v>50</v>
      </c>
      <c r="AM86" s="28" t="s">
        <v>58</v>
      </c>
    </row>
    <row r="87" spans="1:39" x14ac:dyDescent="0.3">
      <c r="A87" t="s">
        <v>93</v>
      </c>
      <c r="B87" s="32">
        <v>42167</v>
      </c>
      <c r="C87" s="6">
        <v>-88.18</v>
      </c>
      <c r="D87" t="s">
        <v>91</v>
      </c>
      <c r="E87" t="s">
        <v>189</v>
      </c>
      <c r="F87" s="6">
        <v>-14.7</v>
      </c>
      <c r="G87" s="5">
        <f t="shared" si="11"/>
        <v>42197</v>
      </c>
      <c r="H87" s="5">
        <f t="shared" si="12"/>
        <v>42167</v>
      </c>
      <c r="I87">
        <v>0</v>
      </c>
      <c r="J87">
        <v>36785</v>
      </c>
      <c r="K87" t="s">
        <v>229</v>
      </c>
      <c r="M87" t="s">
        <v>190</v>
      </c>
      <c r="N87" s="23" t="s">
        <v>47</v>
      </c>
      <c r="O87" s="25">
        <v>1001</v>
      </c>
      <c r="P87" s="23" t="s">
        <v>94</v>
      </c>
      <c r="Q87" s="23"/>
      <c r="R87" s="26" t="s">
        <v>50</v>
      </c>
      <c r="S87" s="23"/>
      <c r="T87" s="26" t="s">
        <v>50</v>
      </c>
      <c r="U87" s="27" t="s">
        <v>95</v>
      </c>
      <c r="V87" s="40">
        <f t="shared" si="7"/>
        <v>-14.7</v>
      </c>
      <c r="W87" s="40">
        <f t="shared" si="8"/>
        <v>-73.48</v>
      </c>
      <c r="X87" s="23" t="s">
        <v>92</v>
      </c>
      <c r="Y87" s="26" t="s">
        <v>50</v>
      </c>
      <c r="Z87" s="23"/>
      <c r="AA87" s="26" t="s">
        <v>50</v>
      </c>
      <c r="AB87" s="41">
        <f t="shared" si="9"/>
        <v>-73.48</v>
      </c>
      <c r="AC87" s="23">
        <v>1</v>
      </c>
      <c r="AD87" s="23" t="s">
        <v>97</v>
      </c>
      <c r="AE87" s="24">
        <v>42277</v>
      </c>
      <c r="AF87" s="23" t="s">
        <v>92</v>
      </c>
      <c r="AG87" s="23">
        <f t="shared" si="10"/>
        <v>36785</v>
      </c>
      <c r="AH87" s="23"/>
      <c r="AI87" s="27" t="str">
        <f t="shared" si="13"/>
        <v>P20</v>
      </c>
      <c r="AJ87" s="23"/>
      <c r="AK87" s="23"/>
      <c r="AL87" s="26" t="s">
        <v>50</v>
      </c>
      <c r="AM87" s="28" t="s">
        <v>58</v>
      </c>
    </row>
    <row r="88" spans="1:39" x14ac:dyDescent="0.3">
      <c r="A88" t="s">
        <v>93</v>
      </c>
      <c r="B88" s="32">
        <v>42168</v>
      </c>
      <c r="C88" s="6">
        <v>198.82999999999998</v>
      </c>
      <c r="D88" t="s">
        <v>91</v>
      </c>
      <c r="E88" t="s">
        <v>46</v>
      </c>
      <c r="F88" s="6">
        <v>33.14</v>
      </c>
      <c r="G88" s="5">
        <f t="shared" si="11"/>
        <v>42198</v>
      </c>
      <c r="H88" s="5">
        <f t="shared" si="12"/>
        <v>42168</v>
      </c>
      <c r="I88">
        <v>0</v>
      </c>
      <c r="J88">
        <v>36621</v>
      </c>
      <c r="K88" t="s">
        <v>229</v>
      </c>
      <c r="M88" t="s">
        <v>191</v>
      </c>
      <c r="N88" s="23" t="s">
        <v>47</v>
      </c>
      <c r="O88" s="25">
        <v>1001</v>
      </c>
      <c r="P88" s="23" t="s">
        <v>94</v>
      </c>
      <c r="Q88" s="23"/>
      <c r="R88" s="26" t="s">
        <v>50</v>
      </c>
      <c r="S88" s="23"/>
      <c r="T88" s="26" t="s">
        <v>50</v>
      </c>
      <c r="U88" s="27" t="s">
        <v>95</v>
      </c>
      <c r="V88" s="40">
        <f t="shared" si="7"/>
        <v>33.14</v>
      </c>
      <c r="W88" s="40">
        <f t="shared" si="8"/>
        <v>165.69</v>
      </c>
      <c r="X88" s="23" t="s">
        <v>92</v>
      </c>
      <c r="Y88" s="26" t="s">
        <v>50</v>
      </c>
      <c r="Z88" s="23"/>
      <c r="AA88" s="26" t="s">
        <v>50</v>
      </c>
      <c r="AB88" s="41">
        <f t="shared" si="9"/>
        <v>165.69</v>
      </c>
      <c r="AC88" s="23">
        <v>1</v>
      </c>
      <c r="AD88" s="23" t="s">
        <v>97</v>
      </c>
      <c r="AE88" s="24">
        <v>42277</v>
      </c>
      <c r="AF88" s="23" t="s">
        <v>92</v>
      </c>
      <c r="AG88" s="23">
        <f t="shared" si="10"/>
        <v>36621</v>
      </c>
      <c r="AH88" s="23"/>
      <c r="AI88" s="27" t="str">
        <f t="shared" si="13"/>
        <v>P20</v>
      </c>
      <c r="AJ88" s="23"/>
      <c r="AK88" s="23"/>
      <c r="AL88" s="26" t="s">
        <v>50</v>
      </c>
      <c r="AM88" s="28" t="s">
        <v>58</v>
      </c>
    </row>
    <row r="89" spans="1:39" x14ac:dyDescent="0.3">
      <c r="A89" t="s">
        <v>93</v>
      </c>
      <c r="B89" s="32">
        <v>42167</v>
      </c>
      <c r="C89" s="6">
        <v>-573.14</v>
      </c>
      <c r="D89" t="s">
        <v>91</v>
      </c>
      <c r="E89" t="s">
        <v>189</v>
      </c>
      <c r="F89" s="6">
        <v>-95.52</v>
      </c>
      <c r="G89" s="5">
        <f t="shared" si="11"/>
        <v>42197</v>
      </c>
      <c r="H89" s="5">
        <f t="shared" si="12"/>
        <v>42167</v>
      </c>
      <c r="I89">
        <v>0</v>
      </c>
      <c r="J89">
        <v>36784</v>
      </c>
      <c r="K89" t="s">
        <v>229</v>
      </c>
      <c r="M89" t="s">
        <v>192</v>
      </c>
      <c r="N89" s="23" t="s">
        <v>47</v>
      </c>
      <c r="O89" s="25">
        <v>1001</v>
      </c>
      <c r="P89" s="23" t="s">
        <v>94</v>
      </c>
      <c r="Q89" s="23"/>
      <c r="R89" s="26" t="s">
        <v>50</v>
      </c>
      <c r="S89" s="23"/>
      <c r="T89" s="26" t="s">
        <v>50</v>
      </c>
      <c r="U89" s="27" t="s">
        <v>95</v>
      </c>
      <c r="V89" s="40">
        <f t="shared" si="7"/>
        <v>-95.52</v>
      </c>
      <c r="W89" s="40">
        <f t="shared" si="8"/>
        <v>-477.62</v>
      </c>
      <c r="X89" s="23" t="s">
        <v>92</v>
      </c>
      <c r="Y89" s="26" t="s">
        <v>50</v>
      </c>
      <c r="Z89" s="23"/>
      <c r="AA89" s="26" t="s">
        <v>50</v>
      </c>
      <c r="AB89" s="41">
        <f t="shared" si="9"/>
        <v>-477.62</v>
      </c>
      <c r="AC89" s="23">
        <v>1</v>
      </c>
      <c r="AD89" s="23" t="s">
        <v>97</v>
      </c>
      <c r="AE89" s="24">
        <v>42277</v>
      </c>
      <c r="AF89" s="23" t="s">
        <v>92</v>
      </c>
      <c r="AG89" s="23">
        <f t="shared" si="10"/>
        <v>36784</v>
      </c>
      <c r="AH89" s="23"/>
      <c r="AI89" s="27" t="str">
        <f t="shared" si="13"/>
        <v>P20</v>
      </c>
      <c r="AJ89" s="23"/>
      <c r="AK89" s="23"/>
      <c r="AL89" s="26" t="s">
        <v>50</v>
      </c>
      <c r="AM89" s="28" t="s">
        <v>58</v>
      </c>
    </row>
    <row r="90" spans="1:39" x14ac:dyDescent="0.3">
      <c r="A90" t="s">
        <v>93</v>
      </c>
      <c r="B90" s="32">
        <v>42185</v>
      </c>
      <c r="C90" s="6">
        <v>245.52</v>
      </c>
      <c r="D90" t="s">
        <v>91</v>
      </c>
      <c r="E90" t="s">
        <v>46</v>
      </c>
      <c r="F90" s="6">
        <v>40.909999999999997</v>
      </c>
      <c r="G90" s="5">
        <f t="shared" si="11"/>
        <v>42215</v>
      </c>
      <c r="H90" s="5">
        <f t="shared" si="12"/>
        <v>42185</v>
      </c>
      <c r="I90">
        <v>0</v>
      </c>
      <c r="J90">
        <v>36738</v>
      </c>
      <c r="K90" t="s">
        <v>229</v>
      </c>
      <c r="M90" t="s">
        <v>193</v>
      </c>
      <c r="N90" s="23" t="s">
        <v>47</v>
      </c>
      <c r="O90" s="25">
        <v>1001</v>
      </c>
      <c r="P90" s="23" t="s">
        <v>94</v>
      </c>
      <c r="Q90" s="23"/>
      <c r="R90" s="26" t="s">
        <v>50</v>
      </c>
      <c r="S90" s="23"/>
      <c r="T90" s="26" t="s">
        <v>50</v>
      </c>
      <c r="U90" s="27" t="s">
        <v>95</v>
      </c>
      <c r="V90" s="40">
        <f t="shared" si="7"/>
        <v>40.909999999999997</v>
      </c>
      <c r="W90" s="40">
        <f t="shared" si="8"/>
        <v>204.61</v>
      </c>
      <c r="X90" s="23" t="s">
        <v>92</v>
      </c>
      <c r="Y90" s="26" t="s">
        <v>50</v>
      </c>
      <c r="Z90" s="23"/>
      <c r="AA90" s="26" t="s">
        <v>50</v>
      </c>
      <c r="AB90" s="41">
        <f t="shared" si="9"/>
        <v>204.61</v>
      </c>
      <c r="AC90" s="23">
        <v>1</v>
      </c>
      <c r="AD90" s="23" t="s">
        <v>97</v>
      </c>
      <c r="AE90" s="24">
        <v>42277</v>
      </c>
      <c r="AF90" s="23" t="s">
        <v>92</v>
      </c>
      <c r="AG90" s="23">
        <f t="shared" si="10"/>
        <v>36738</v>
      </c>
      <c r="AH90" s="23"/>
      <c r="AI90" s="27" t="str">
        <f t="shared" si="13"/>
        <v>P20</v>
      </c>
      <c r="AJ90" s="23"/>
      <c r="AK90" s="23"/>
      <c r="AL90" s="26" t="s">
        <v>50</v>
      </c>
      <c r="AM90" s="28" t="s">
        <v>58</v>
      </c>
    </row>
    <row r="91" spans="1:39" x14ac:dyDescent="0.3">
      <c r="A91" t="s">
        <v>93</v>
      </c>
      <c r="B91" s="32">
        <v>42167</v>
      </c>
      <c r="C91" s="6">
        <v>967.2</v>
      </c>
      <c r="D91" t="s">
        <v>91</v>
      </c>
      <c r="E91" t="s">
        <v>46</v>
      </c>
      <c r="F91" s="6">
        <v>161.19999999999999</v>
      </c>
      <c r="G91" s="5">
        <f t="shared" si="11"/>
        <v>42197</v>
      </c>
      <c r="H91" s="5">
        <f t="shared" si="12"/>
        <v>42167</v>
      </c>
      <c r="I91">
        <v>0</v>
      </c>
      <c r="J91">
        <v>36561</v>
      </c>
      <c r="K91" t="s">
        <v>229</v>
      </c>
      <c r="M91" t="s">
        <v>194</v>
      </c>
      <c r="N91" s="23" t="s">
        <v>47</v>
      </c>
      <c r="O91" s="25">
        <v>1001</v>
      </c>
      <c r="P91" s="23" t="s">
        <v>94</v>
      </c>
      <c r="Q91" s="23"/>
      <c r="R91" s="26" t="s">
        <v>50</v>
      </c>
      <c r="S91" s="23"/>
      <c r="T91" s="26" t="s">
        <v>50</v>
      </c>
      <c r="U91" s="27" t="s">
        <v>95</v>
      </c>
      <c r="V91" s="40">
        <f t="shared" si="7"/>
        <v>161.19999999999999</v>
      </c>
      <c r="W91" s="40">
        <f t="shared" si="8"/>
        <v>806</v>
      </c>
      <c r="X91" s="23" t="s">
        <v>92</v>
      </c>
      <c r="Y91" s="26" t="s">
        <v>50</v>
      </c>
      <c r="Z91" s="23"/>
      <c r="AA91" s="26" t="s">
        <v>50</v>
      </c>
      <c r="AB91" s="41">
        <f t="shared" si="9"/>
        <v>806</v>
      </c>
      <c r="AC91" s="23">
        <v>1</v>
      </c>
      <c r="AD91" s="23" t="s">
        <v>97</v>
      </c>
      <c r="AE91" s="24">
        <v>42277</v>
      </c>
      <c r="AF91" s="23" t="s">
        <v>92</v>
      </c>
      <c r="AG91" s="23">
        <f t="shared" si="10"/>
        <v>36561</v>
      </c>
      <c r="AH91" s="23"/>
      <c r="AI91" s="27" t="str">
        <f t="shared" si="13"/>
        <v>P20</v>
      </c>
      <c r="AJ91" s="23"/>
      <c r="AK91" s="23"/>
      <c r="AL91" s="26" t="s">
        <v>50</v>
      </c>
      <c r="AM91" s="28" t="s">
        <v>58</v>
      </c>
    </row>
    <row r="92" spans="1:39" x14ac:dyDescent="0.3">
      <c r="A92" t="s">
        <v>93</v>
      </c>
      <c r="B92" s="32">
        <v>42165</v>
      </c>
      <c r="C92" s="6">
        <v>281.64999999999998</v>
      </c>
      <c r="D92" t="s">
        <v>91</v>
      </c>
      <c r="E92" t="s">
        <v>46</v>
      </c>
      <c r="F92" s="6">
        <v>46.95</v>
      </c>
      <c r="G92" s="5">
        <f t="shared" si="11"/>
        <v>42195</v>
      </c>
      <c r="H92" s="5">
        <f t="shared" si="12"/>
        <v>42165</v>
      </c>
      <c r="I92">
        <v>0</v>
      </c>
      <c r="J92">
        <v>36487</v>
      </c>
      <c r="K92" t="s">
        <v>229</v>
      </c>
      <c r="M92" t="s">
        <v>195</v>
      </c>
      <c r="N92" s="23" t="s">
        <v>47</v>
      </c>
      <c r="O92" s="25">
        <v>1001</v>
      </c>
      <c r="P92" s="23" t="s">
        <v>94</v>
      </c>
      <c r="Q92" s="23"/>
      <c r="R92" s="26" t="s">
        <v>50</v>
      </c>
      <c r="S92" s="23"/>
      <c r="T92" s="26" t="s">
        <v>50</v>
      </c>
      <c r="U92" s="27" t="s">
        <v>95</v>
      </c>
      <c r="V92" s="40">
        <f t="shared" si="7"/>
        <v>46.95</v>
      </c>
      <c r="W92" s="40">
        <f t="shared" si="8"/>
        <v>234.7</v>
      </c>
      <c r="X92" s="23" t="s">
        <v>92</v>
      </c>
      <c r="Y92" s="26" t="s">
        <v>50</v>
      </c>
      <c r="Z92" s="23"/>
      <c r="AA92" s="26" t="s">
        <v>50</v>
      </c>
      <c r="AB92" s="41">
        <f t="shared" si="9"/>
        <v>234.7</v>
      </c>
      <c r="AC92" s="23">
        <v>1</v>
      </c>
      <c r="AD92" s="23" t="s">
        <v>97</v>
      </c>
      <c r="AE92" s="24">
        <v>42277</v>
      </c>
      <c r="AF92" s="23" t="s">
        <v>92</v>
      </c>
      <c r="AG92" s="23">
        <f t="shared" si="10"/>
        <v>36487</v>
      </c>
      <c r="AH92" s="23"/>
      <c r="AI92" s="27" t="str">
        <f t="shared" si="13"/>
        <v>P20</v>
      </c>
      <c r="AJ92" s="23"/>
      <c r="AK92" s="23"/>
      <c r="AL92" s="26" t="s">
        <v>50</v>
      </c>
      <c r="AM92" s="28" t="s">
        <v>58</v>
      </c>
    </row>
    <row r="93" spans="1:39" x14ac:dyDescent="0.3">
      <c r="A93" t="s">
        <v>93</v>
      </c>
      <c r="B93" s="32">
        <v>42171</v>
      </c>
      <c r="C93" s="6">
        <v>239.18</v>
      </c>
      <c r="D93" t="s">
        <v>91</v>
      </c>
      <c r="E93" t="s">
        <v>46</v>
      </c>
      <c r="F93" s="6">
        <v>39.86</v>
      </c>
      <c r="G93" s="5">
        <f t="shared" si="11"/>
        <v>42201</v>
      </c>
      <c r="H93" s="5">
        <f t="shared" si="12"/>
        <v>42171</v>
      </c>
      <c r="I93">
        <v>0</v>
      </c>
      <c r="J93">
        <v>36629</v>
      </c>
      <c r="K93" t="s">
        <v>229</v>
      </c>
      <c r="M93" t="s">
        <v>196</v>
      </c>
      <c r="N93" s="23" t="s">
        <v>47</v>
      </c>
      <c r="O93" s="25">
        <v>1001</v>
      </c>
      <c r="P93" s="23" t="s">
        <v>94</v>
      </c>
      <c r="Q93" s="23"/>
      <c r="R93" s="26" t="s">
        <v>50</v>
      </c>
      <c r="S93" s="23"/>
      <c r="T93" s="26" t="s">
        <v>50</v>
      </c>
      <c r="U93" s="27" t="s">
        <v>95</v>
      </c>
      <c r="V93" s="40">
        <f t="shared" si="7"/>
        <v>39.86</v>
      </c>
      <c r="W93" s="40">
        <f t="shared" si="8"/>
        <v>199.32</v>
      </c>
      <c r="X93" s="23" t="s">
        <v>92</v>
      </c>
      <c r="Y93" s="26" t="s">
        <v>50</v>
      </c>
      <c r="Z93" s="23"/>
      <c r="AA93" s="26" t="s">
        <v>50</v>
      </c>
      <c r="AB93" s="41">
        <f t="shared" si="9"/>
        <v>199.32</v>
      </c>
      <c r="AC93" s="23">
        <v>1</v>
      </c>
      <c r="AD93" s="23" t="s">
        <v>97</v>
      </c>
      <c r="AE93" s="24">
        <v>42277</v>
      </c>
      <c r="AF93" s="23" t="s">
        <v>92</v>
      </c>
      <c r="AG93" s="23">
        <f t="shared" si="10"/>
        <v>36629</v>
      </c>
      <c r="AH93" s="23"/>
      <c r="AI93" s="27" t="str">
        <f t="shared" si="13"/>
        <v>P20</v>
      </c>
      <c r="AJ93" s="23"/>
      <c r="AK93" s="23"/>
      <c r="AL93" s="26" t="s">
        <v>50</v>
      </c>
      <c r="AM93" s="28" t="s">
        <v>58</v>
      </c>
    </row>
    <row r="94" spans="1:39" x14ac:dyDescent="0.3">
      <c r="A94" t="s">
        <v>93</v>
      </c>
      <c r="B94" s="32">
        <v>42172</v>
      </c>
      <c r="C94" s="6">
        <v>43.82</v>
      </c>
      <c r="D94" t="s">
        <v>91</v>
      </c>
      <c r="E94" t="s">
        <v>46</v>
      </c>
      <c r="F94" s="6">
        <v>0</v>
      </c>
      <c r="G94" s="5">
        <f t="shared" si="11"/>
        <v>42202</v>
      </c>
      <c r="H94" s="5">
        <f t="shared" si="12"/>
        <v>42172</v>
      </c>
      <c r="I94">
        <v>0</v>
      </c>
      <c r="J94">
        <v>36631</v>
      </c>
      <c r="K94" t="s">
        <v>229</v>
      </c>
      <c r="M94" t="s">
        <v>197</v>
      </c>
      <c r="N94" s="23" t="s">
        <v>47</v>
      </c>
      <c r="O94" s="25">
        <v>1001</v>
      </c>
      <c r="P94" s="23" t="s">
        <v>94</v>
      </c>
      <c r="Q94" s="23"/>
      <c r="R94" s="26" t="s">
        <v>50</v>
      </c>
      <c r="S94" s="23"/>
      <c r="T94" s="26" t="s">
        <v>50</v>
      </c>
      <c r="U94" s="27" t="s">
        <v>95</v>
      </c>
      <c r="V94" s="40">
        <f t="shared" si="7"/>
        <v>0</v>
      </c>
      <c r="W94" s="40">
        <f t="shared" si="8"/>
        <v>43.82</v>
      </c>
      <c r="X94" s="23" t="s">
        <v>92</v>
      </c>
      <c r="Y94" s="26" t="s">
        <v>50</v>
      </c>
      <c r="Z94" s="23"/>
      <c r="AA94" s="26" t="s">
        <v>50</v>
      </c>
      <c r="AB94" s="41">
        <f t="shared" si="9"/>
        <v>43.82</v>
      </c>
      <c r="AC94" s="23">
        <v>1</v>
      </c>
      <c r="AD94" s="23" t="s">
        <v>97</v>
      </c>
      <c r="AE94" s="24">
        <v>42277</v>
      </c>
      <c r="AF94" s="23" t="s">
        <v>92</v>
      </c>
      <c r="AG94" s="23">
        <f t="shared" si="10"/>
        <v>36631</v>
      </c>
      <c r="AH94" s="23"/>
      <c r="AI94" s="27" t="str">
        <f t="shared" si="13"/>
        <v>P20</v>
      </c>
      <c r="AJ94" s="23"/>
      <c r="AK94" s="23"/>
      <c r="AL94" s="26" t="s">
        <v>50</v>
      </c>
      <c r="AM94" s="28" t="s">
        <v>58</v>
      </c>
    </row>
    <row r="95" spans="1:39" x14ac:dyDescent="0.3">
      <c r="A95" t="s">
        <v>93</v>
      </c>
      <c r="B95" s="32">
        <v>42160</v>
      </c>
      <c r="C95" s="6">
        <v>31.92</v>
      </c>
      <c r="D95" t="s">
        <v>91</v>
      </c>
      <c r="E95" t="s">
        <v>46</v>
      </c>
      <c r="F95" s="6">
        <v>5.32</v>
      </c>
      <c r="G95" s="5">
        <f t="shared" si="11"/>
        <v>42190</v>
      </c>
      <c r="H95" s="5">
        <f t="shared" si="12"/>
        <v>42160</v>
      </c>
      <c r="I95">
        <v>0</v>
      </c>
      <c r="J95">
        <v>36417</v>
      </c>
      <c r="K95" t="s">
        <v>229</v>
      </c>
      <c r="M95" t="s">
        <v>198</v>
      </c>
      <c r="N95" s="23" t="s">
        <v>47</v>
      </c>
      <c r="O95" s="25">
        <v>1001</v>
      </c>
      <c r="P95" s="23" t="s">
        <v>94</v>
      </c>
      <c r="Q95" s="23"/>
      <c r="R95" s="26" t="s">
        <v>50</v>
      </c>
      <c r="S95" s="23"/>
      <c r="T95" s="26" t="s">
        <v>50</v>
      </c>
      <c r="U95" s="27" t="s">
        <v>95</v>
      </c>
      <c r="V95" s="40">
        <f t="shared" si="7"/>
        <v>5.32</v>
      </c>
      <c r="W95" s="40">
        <f t="shared" si="8"/>
        <v>26.6</v>
      </c>
      <c r="X95" s="23" t="s">
        <v>92</v>
      </c>
      <c r="Y95" s="26" t="s">
        <v>50</v>
      </c>
      <c r="Z95" s="23"/>
      <c r="AA95" s="26" t="s">
        <v>50</v>
      </c>
      <c r="AB95" s="41">
        <f t="shared" si="9"/>
        <v>26.6</v>
      </c>
      <c r="AC95" s="23">
        <v>1</v>
      </c>
      <c r="AD95" s="23" t="s">
        <v>97</v>
      </c>
      <c r="AE95" s="24">
        <v>42277</v>
      </c>
      <c r="AF95" s="23" t="s">
        <v>92</v>
      </c>
      <c r="AG95" s="23">
        <f t="shared" si="10"/>
        <v>36417</v>
      </c>
      <c r="AH95" s="23"/>
      <c r="AI95" s="27" t="str">
        <f t="shared" si="13"/>
        <v>P20</v>
      </c>
      <c r="AJ95" s="23"/>
      <c r="AK95" s="23"/>
      <c r="AL95" s="26" t="s">
        <v>50</v>
      </c>
      <c r="AM95" s="28" t="s">
        <v>58</v>
      </c>
    </row>
    <row r="96" spans="1:39" x14ac:dyDescent="0.3">
      <c r="A96" t="s">
        <v>93</v>
      </c>
      <c r="B96" s="32">
        <v>42160</v>
      </c>
      <c r="C96" s="6">
        <v>542.71</v>
      </c>
      <c r="D96" t="s">
        <v>91</v>
      </c>
      <c r="E96" t="s">
        <v>46</v>
      </c>
      <c r="F96" s="6">
        <v>90.46</v>
      </c>
      <c r="G96" s="5">
        <f t="shared" si="11"/>
        <v>42190</v>
      </c>
      <c r="H96" s="5">
        <f t="shared" si="12"/>
        <v>42160</v>
      </c>
      <c r="I96">
        <v>0</v>
      </c>
      <c r="J96">
        <v>36418</v>
      </c>
      <c r="K96" t="s">
        <v>229</v>
      </c>
      <c r="M96" t="s">
        <v>199</v>
      </c>
      <c r="N96" s="23" t="s">
        <v>47</v>
      </c>
      <c r="O96" s="25">
        <v>1001</v>
      </c>
      <c r="P96" s="23" t="s">
        <v>94</v>
      </c>
      <c r="Q96" s="23"/>
      <c r="R96" s="26" t="s">
        <v>50</v>
      </c>
      <c r="S96" s="23"/>
      <c r="T96" s="26" t="s">
        <v>50</v>
      </c>
      <c r="U96" s="27" t="s">
        <v>95</v>
      </c>
      <c r="V96" s="40">
        <f t="shared" si="7"/>
        <v>90.46</v>
      </c>
      <c r="W96" s="40">
        <f t="shared" si="8"/>
        <v>452.25000000000006</v>
      </c>
      <c r="X96" s="23" t="s">
        <v>92</v>
      </c>
      <c r="Y96" s="26" t="s">
        <v>50</v>
      </c>
      <c r="Z96" s="23"/>
      <c r="AA96" s="26" t="s">
        <v>50</v>
      </c>
      <c r="AB96" s="41">
        <f t="shared" si="9"/>
        <v>452.25000000000006</v>
      </c>
      <c r="AC96" s="23">
        <v>1</v>
      </c>
      <c r="AD96" s="23" t="s">
        <v>97</v>
      </c>
      <c r="AE96" s="24">
        <v>42277</v>
      </c>
      <c r="AF96" s="23" t="s">
        <v>92</v>
      </c>
      <c r="AG96" s="23">
        <f t="shared" si="10"/>
        <v>36418</v>
      </c>
      <c r="AH96" s="23"/>
      <c r="AI96" s="27" t="str">
        <f t="shared" si="13"/>
        <v>P20</v>
      </c>
      <c r="AJ96" s="23"/>
      <c r="AK96" s="23"/>
      <c r="AL96" s="26" t="s">
        <v>50</v>
      </c>
      <c r="AM96" s="28" t="s">
        <v>58</v>
      </c>
    </row>
    <row r="97" spans="1:39" x14ac:dyDescent="0.3">
      <c r="A97" t="s">
        <v>93</v>
      </c>
      <c r="B97" s="32">
        <v>42163</v>
      </c>
      <c r="C97" s="6">
        <v>77.45</v>
      </c>
      <c r="D97" t="s">
        <v>91</v>
      </c>
      <c r="E97" t="s">
        <v>46</v>
      </c>
      <c r="F97" s="6">
        <v>12.91</v>
      </c>
      <c r="G97" s="5">
        <f t="shared" si="11"/>
        <v>42193</v>
      </c>
      <c r="H97" s="5">
        <f t="shared" si="12"/>
        <v>42163</v>
      </c>
      <c r="I97">
        <v>0</v>
      </c>
      <c r="J97">
        <v>36477</v>
      </c>
      <c r="K97" t="s">
        <v>229</v>
      </c>
      <c r="M97" t="s">
        <v>200</v>
      </c>
      <c r="N97" s="23" t="s">
        <v>47</v>
      </c>
      <c r="O97" s="25">
        <v>1001</v>
      </c>
      <c r="P97" s="23" t="s">
        <v>94</v>
      </c>
      <c r="Q97" s="23"/>
      <c r="R97" s="26" t="s">
        <v>50</v>
      </c>
      <c r="S97" s="23"/>
      <c r="T97" s="26" t="s">
        <v>50</v>
      </c>
      <c r="U97" s="27" t="s">
        <v>95</v>
      </c>
      <c r="V97" s="40">
        <f t="shared" si="7"/>
        <v>12.91</v>
      </c>
      <c r="W97" s="40">
        <f t="shared" si="8"/>
        <v>64.540000000000006</v>
      </c>
      <c r="X97" s="23" t="s">
        <v>92</v>
      </c>
      <c r="Y97" s="26" t="s">
        <v>50</v>
      </c>
      <c r="Z97" s="23"/>
      <c r="AA97" s="26" t="s">
        <v>50</v>
      </c>
      <c r="AB97" s="41">
        <f t="shared" si="9"/>
        <v>64.540000000000006</v>
      </c>
      <c r="AC97" s="23">
        <v>1</v>
      </c>
      <c r="AD97" s="23" t="s">
        <v>97</v>
      </c>
      <c r="AE97" s="24">
        <v>42277</v>
      </c>
      <c r="AF97" s="23" t="s">
        <v>92</v>
      </c>
      <c r="AG97" s="23">
        <f t="shared" si="10"/>
        <v>36477</v>
      </c>
      <c r="AH97" s="23"/>
      <c r="AI97" s="27" t="str">
        <f t="shared" si="13"/>
        <v>P20</v>
      </c>
      <c r="AJ97" s="23"/>
      <c r="AK97" s="23"/>
      <c r="AL97" s="26" t="s">
        <v>50</v>
      </c>
      <c r="AM97" s="28" t="s">
        <v>58</v>
      </c>
    </row>
    <row r="98" spans="1:39" x14ac:dyDescent="0.3">
      <c r="A98" t="s">
        <v>93</v>
      </c>
      <c r="B98" s="32">
        <v>42163</v>
      </c>
      <c r="C98" s="6">
        <v>36</v>
      </c>
      <c r="D98" t="s">
        <v>91</v>
      </c>
      <c r="E98" t="s">
        <v>46</v>
      </c>
      <c r="F98" s="6">
        <v>6</v>
      </c>
      <c r="G98" s="5">
        <f t="shared" si="11"/>
        <v>42193</v>
      </c>
      <c r="H98" s="5">
        <f t="shared" si="12"/>
        <v>42163</v>
      </c>
      <c r="I98">
        <v>0</v>
      </c>
      <c r="J98">
        <v>36481</v>
      </c>
      <c r="K98" t="s">
        <v>229</v>
      </c>
      <c r="M98" t="s">
        <v>201</v>
      </c>
      <c r="N98" s="23" t="s">
        <v>47</v>
      </c>
      <c r="O98" s="25">
        <v>1001</v>
      </c>
      <c r="P98" s="23" t="s">
        <v>94</v>
      </c>
      <c r="Q98" s="23"/>
      <c r="R98" s="26" t="s">
        <v>50</v>
      </c>
      <c r="S98" s="23"/>
      <c r="T98" s="26" t="s">
        <v>50</v>
      </c>
      <c r="U98" s="27" t="s">
        <v>95</v>
      </c>
      <c r="V98" s="40">
        <f t="shared" si="7"/>
        <v>6</v>
      </c>
      <c r="W98" s="40">
        <f t="shared" si="8"/>
        <v>30</v>
      </c>
      <c r="X98" s="23" t="s">
        <v>92</v>
      </c>
      <c r="Y98" s="26" t="s">
        <v>50</v>
      </c>
      <c r="Z98" s="23"/>
      <c r="AA98" s="26" t="s">
        <v>50</v>
      </c>
      <c r="AB98" s="41">
        <f t="shared" si="9"/>
        <v>30</v>
      </c>
      <c r="AC98" s="23">
        <v>1</v>
      </c>
      <c r="AD98" s="23" t="s">
        <v>97</v>
      </c>
      <c r="AE98" s="24">
        <v>42277</v>
      </c>
      <c r="AF98" s="23" t="s">
        <v>92</v>
      </c>
      <c r="AG98" s="23">
        <f t="shared" si="10"/>
        <v>36481</v>
      </c>
      <c r="AH98" s="23"/>
      <c r="AI98" s="27" t="str">
        <f t="shared" si="13"/>
        <v>P20</v>
      </c>
      <c r="AJ98" s="23"/>
      <c r="AK98" s="23"/>
      <c r="AL98" s="26" t="s">
        <v>50</v>
      </c>
      <c r="AM98" s="28" t="s">
        <v>58</v>
      </c>
    </row>
    <row r="99" spans="1:39" x14ac:dyDescent="0.3">
      <c r="A99" t="s">
        <v>93</v>
      </c>
      <c r="B99" s="32">
        <v>42164</v>
      </c>
      <c r="C99" s="6">
        <v>158.30000000000001</v>
      </c>
      <c r="D99" t="s">
        <v>91</v>
      </c>
      <c r="E99" t="s">
        <v>46</v>
      </c>
      <c r="F99" s="6">
        <v>26.39</v>
      </c>
      <c r="G99" s="5">
        <f t="shared" si="11"/>
        <v>42194</v>
      </c>
      <c r="H99" s="5">
        <f t="shared" si="12"/>
        <v>42164</v>
      </c>
      <c r="I99">
        <v>0</v>
      </c>
      <c r="J99">
        <v>36484</v>
      </c>
      <c r="K99" t="s">
        <v>229</v>
      </c>
      <c r="M99" t="s">
        <v>202</v>
      </c>
      <c r="N99" s="23" t="s">
        <v>47</v>
      </c>
      <c r="O99" s="25">
        <v>1001</v>
      </c>
      <c r="P99" s="23" t="s">
        <v>94</v>
      </c>
      <c r="Q99" s="23"/>
      <c r="R99" s="26" t="s">
        <v>50</v>
      </c>
      <c r="S99" s="23"/>
      <c r="T99" s="26" t="s">
        <v>50</v>
      </c>
      <c r="U99" s="27" t="s">
        <v>95</v>
      </c>
      <c r="V99" s="40">
        <f t="shared" si="7"/>
        <v>26.39</v>
      </c>
      <c r="W99" s="40">
        <f t="shared" si="8"/>
        <v>131.91000000000003</v>
      </c>
      <c r="X99" s="23" t="s">
        <v>92</v>
      </c>
      <c r="Y99" s="26" t="s">
        <v>50</v>
      </c>
      <c r="Z99" s="23"/>
      <c r="AA99" s="26" t="s">
        <v>50</v>
      </c>
      <c r="AB99" s="41">
        <f t="shared" si="9"/>
        <v>131.91000000000003</v>
      </c>
      <c r="AC99" s="23">
        <v>1</v>
      </c>
      <c r="AD99" s="23" t="s">
        <v>97</v>
      </c>
      <c r="AE99" s="24">
        <v>42277</v>
      </c>
      <c r="AF99" s="23" t="s">
        <v>92</v>
      </c>
      <c r="AG99" s="23">
        <f t="shared" si="10"/>
        <v>36484</v>
      </c>
      <c r="AH99" s="23"/>
      <c r="AI99" s="27" t="str">
        <f t="shared" si="13"/>
        <v>P20</v>
      </c>
      <c r="AJ99" s="23"/>
      <c r="AK99" s="23"/>
      <c r="AL99" s="26" t="s">
        <v>50</v>
      </c>
      <c r="AM99" s="28" t="s">
        <v>58</v>
      </c>
    </row>
    <row r="100" spans="1:39" x14ac:dyDescent="0.3">
      <c r="A100" t="s">
        <v>93</v>
      </c>
      <c r="B100" s="32">
        <v>42164</v>
      </c>
      <c r="C100" s="6">
        <v>55.2</v>
      </c>
      <c r="D100" t="s">
        <v>91</v>
      </c>
      <c r="E100" t="s">
        <v>46</v>
      </c>
      <c r="F100" s="6">
        <v>9.1999999999999993</v>
      </c>
      <c r="G100" s="5">
        <f t="shared" si="11"/>
        <v>42194</v>
      </c>
      <c r="H100" s="5">
        <f t="shared" si="12"/>
        <v>42164</v>
      </c>
      <c r="I100">
        <v>0</v>
      </c>
      <c r="J100">
        <v>36486</v>
      </c>
      <c r="K100" t="s">
        <v>229</v>
      </c>
      <c r="M100" t="s">
        <v>203</v>
      </c>
      <c r="N100" s="23" t="s">
        <v>47</v>
      </c>
      <c r="O100" s="25">
        <v>1001</v>
      </c>
      <c r="P100" s="23" t="s">
        <v>94</v>
      </c>
      <c r="Q100" s="23"/>
      <c r="R100" s="26" t="s">
        <v>50</v>
      </c>
      <c r="S100" s="23"/>
      <c r="T100" s="26" t="s">
        <v>50</v>
      </c>
      <c r="U100" s="27" t="s">
        <v>95</v>
      </c>
      <c r="V100" s="40">
        <f t="shared" si="7"/>
        <v>9.1999999999999993</v>
      </c>
      <c r="W100" s="40">
        <f t="shared" si="8"/>
        <v>46</v>
      </c>
      <c r="X100" s="23" t="s">
        <v>92</v>
      </c>
      <c r="Y100" s="26" t="s">
        <v>50</v>
      </c>
      <c r="Z100" s="23"/>
      <c r="AA100" s="26" t="s">
        <v>50</v>
      </c>
      <c r="AB100" s="41">
        <f t="shared" si="9"/>
        <v>46</v>
      </c>
      <c r="AC100" s="23">
        <v>1</v>
      </c>
      <c r="AD100" s="23" t="s">
        <v>97</v>
      </c>
      <c r="AE100" s="24">
        <v>42277</v>
      </c>
      <c r="AF100" s="23" t="s">
        <v>92</v>
      </c>
      <c r="AG100" s="23">
        <f t="shared" si="10"/>
        <v>36486</v>
      </c>
      <c r="AH100" s="23"/>
      <c r="AI100" s="27" t="str">
        <f t="shared" si="13"/>
        <v>P20</v>
      </c>
      <c r="AJ100" s="23"/>
      <c r="AK100" s="23"/>
      <c r="AL100" s="26" t="s">
        <v>50</v>
      </c>
      <c r="AM100" s="28" t="s">
        <v>58</v>
      </c>
    </row>
    <row r="101" spans="1:39" x14ac:dyDescent="0.3">
      <c r="A101" t="s">
        <v>93</v>
      </c>
      <c r="B101" s="32">
        <v>42165</v>
      </c>
      <c r="C101" s="6">
        <v>402.19000000000005</v>
      </c>
      <c r="D101" t="s">
        <v>91</v>
      </c>
      <c r="E101" t="s">
        <v>46</v>
      </c>
      <c r="F101" s="6">
        <v>67.03</v>
      </c>
      <c r="G101" s="5">
        <f t="shared" si="11"/>
        <v>42195</v>
      </c>
      <c r="H101" s="5">
        <f t="shared" si="12"/>
        <v>42165</v>
      </c>
      <c r="I101">
        <v>0</v>
      </c>
      <c r="J101">
        <v>36489</v>
      </c>
      <c r="K101" t="s">
        <v>229</v>
      </c>
      <c r="M101" t="s">
        <v>204</v>
      </c>
      <c r="N101" s="23" t="s">
        <v>47</v>
      </c>
      <c r="O101" s="25">
        <v>1001</v>
      </c>
      <c r="P101" s="23" t="s">
        <v>94</v>
      </c>
      <c r="Q101" s="23"/>
      <c r="R101" s="26" t="s">
        <v>50</v>
      </c>
      <c r="S101" s="23"/>
      <c r="T101" s="26" t="s">
        <v>50</v>
      </c>
      <c r="U101" s="27" t="s">
        <v>95</v>
      </c>
      <c r="V101" s="40">
        <f t="shared" si="7"/>
        <v>67.03</v>
      </c>
      <c r="W101" s="40">
        <f t="shared" si="8"/>
        <v>335.16000000000008</v>
      </c>
      <c r="X101" s="23" t="s">
        <v>92</v>
      </c>
      <c r="Y101" s="26" t="s">
        <v>50</v>
      </c>
      <c r="Z101" s="23"/>
      <c r="AA101" s="26" t="s">
        <v>50</v>
      </c>
      <c r="AB101" s="41">
        <f t="shared" si="9"/>
        <v>335.16000000000008</v>
      </c>
      <c r="AC101" s="23">
        <v>1</v>
      </c>
      <c r="AD101" s="23" t="s">
        <v>97</v>
      </c>
      <c r="AE101" s="24">
        <v>42277</v>
      </c>
      <c r="AF101" s="23" t="s">
        <v>92</v>
      </c>
      <c r="AG101" s="23">
        <f t="shared" si="10"/>
        <v>36489</v>
      </c>
      <c r="AH101" s="23"/>
      <c r="AI101" s="27" t="str">
        <f t="shared" si="13"/>
        <v>P20</v>
      </c>
      <c r="AJ101" s="23"/>
      <c r="AK101" s="23"/>
      <c r="AL101" s="26" t="s">
        <v>50</v>
      </c>
      <c r="AM101" s="28" t="s">
        <v>58</v>
      </c>
    </row>
    <row r="102" spans="1:39" x14ac:dyDescent="0.3">
      <c r="A102" t="s">
        <v>93</v>
      </c>
      <c r="B102" s="32">
        <v>42166</v>
      </c>
      <c r="C102" s="6">
        <v>14.59</v>
      </c>
      <c r="D102" t="s">
        <v>91</v>
      </c>
      <c r="E102" t="s">
        <v>46</v>
      </c>
      <c r="F102" s="6">
        <v>2.4300000000000002</v>
      </c>
      <c r="G102" s="5">
        <f t="shared" si="11"/>
        <v>42196</v>
      </c>
      <c r="H102" s="5">
        <f t="shared" si="12"/>
        <v>42166</v>
      </c>
      <c r="I102">
        <v>0</v>
      </c>
      <c r="J102">
        <v>36533</v>
      </c>
      <c r="K102" t="s">
        <v>229</v>
      </c>
      <c r="M102" t="s">
        <v>205</v>
      </c>
      <c r="N102" s="23" t="s">
        <v>47</v>
      </c>
      <c r="O102" s="25">
        <v>1001</v>
      </c>
      <c r="P102" s="23" t="s">
        <v>94</v>
      </c>
      <c r="Q102" s="23"/>
      <c r="R102" s="26" t="s">
        <v>50</v>
      </c>
      <c r="S102" s="23"/>
      <c r="T102" s="26" t="s">
        <v>50</v>
      </c>
      <c r="U102" s="27" t="s">
        <v>95</v>
      </c>
      <c r="V102" s="40">
        <f t="shared" si="7"/>
        <v>2.4300000000000002</v>
      </c>
      <c r="W102" s="40">
        <f t="shared" si="8"/>
        <v>12.16</v>
      </c>
      <c r="X102" s="23" t="s">
        <v>92</v>
      </c>
      <c r="Y102" s="26" t="s">
        <v>50</v>
      </c>
      <c r="Z102" s="23"/>
      <c r="AA102" s="26" t="s">
        <v>50</v>
      </c>
      <c r="AB102" s="41">
        <f t="shared" si="9"/>
        <v>12.16</v>
      </c>
      <c r="AC102" s="23">
        <v>1</v>
      </c>
      <c r="AD102" s="23" t="s">
        <v>97</v>
      </c>
      <c r="AE102" s="24">
        <v>42277</v>
      </c>
      <c r="AF102" s="23" t="s">
        <v>92</v>
      </c>
      <c r="AG102" s="23">
        <f t="shared" si="10"/>
        <v>36533</v>
      </c>
      <c r="AH102" s="23"/>
      <c r="AI102" s="27" t="str">
        <f t="shared" si="13"/>
        <v>P20</v>
      </c>
      <c r="AJ102" s="23"/>
      <c r="AK102" s="23"/>
      <c r="AL102" s="26" t="s">
        <v>50</v>
      </c>
      <c r="AM102" s="28" t="s">
        <v>58</v>
      </c>
    </row>
    <row r="103" spans="1:39" x14ac:dyDescent="0.3">
      <c r="A103" t="s">
        <v>93</v>
      </c>
      <c r="B103" s="32">
        <v>42167</v>
      </c>
      <c r="C103" s="6">
        <v>105.22</v>
      </c>
      <c r="D103" t="s">
        <v>91</v>
      </c>
      <c r="E103" t="s">
        <v>46</v>
      </c>
      <c r="F103" s="6">
        <v>17.54</v>
      </c>
      <c r="G103" s="5">
        <f t="shared" si="11"/>
        <v>42197</v>
      </c>
      <c r="H103" s="5">
        <f t="shared" si="12"/>
        <v>42167</v>
      </c>
      <c r="I103">
        <v>0</v>
      </c>
      <c r="J103">
        <v>36546</v>
      </c>
      <c r="K103" t="s">
        <v>229</v>
      </c>
      <c r="M103" t="s">
        <v>206</v>
      </c>
      <c r="N103" s="23" t="s">
        <v>47</v>
      </c>
      <c r="O103" s="25">
        <v>1001</v>
      </c>
      <c r="P103" s="23" t="s">
        <v>94</v>
      </c>
      <c r="Q103" s="23"/>
      <c r="R103" s="26" t="s">
        <v>50</v>
      </c>
      <c r="S103" s="23"/>
      <c r="T103" s="26" t="s">
        <v>50</v>
      </c>
      <c r="U103" s="27" t="s">
        <v>95</v>
      </c>
      <c r="V103" s="40">
        <f t="shared" si="7"/>
        <v>17.54</v>
      </c>
      <c r="W103" s="40">
        <f t="shared" si="8"/>
        <v>87.68</v>
      </c>
      <c r="X103" s="23" t="s">
        <v>92</v>
      </c>
      <c r="Y103" s="26" t="s">
        <v>50</v>
      </c>
      <c r="Z103" s="23"/>
      <c r="AA103" s="26" t="s">
        <v>50</v>
      </c>
      <c r="AB103" s="41">
        <f t="shared" si="9"/>
        <v>87.68</v>
      </c>
      <c r="AC103" s="23">
        <v>1</v>
      </c>
      <c r="AD103" s="23" t="s">
        <v>97</v>
      </c>
      <c r="AE103" s="24">
        <v>42277</v>
      </c>
      <c r="AF103" s="23" t="s">
        <v>92</v>
      </c>
      <c r="AG103" s="23">
        <f t="shared" si="10"/>
        <v>36546</v>
      </c>
      <c r="AH103" s="23"/>
      <c r="AI103" s="27" t="str">
        <f t="shared" si="13"/>
        <v>P20</v>
      </c>
      <c r="AJ103" s="23"/>
      <c r="AK103" s="23"/>
      <c r="AL103" s="26" t="s">
        <v>50</v>
      </c>
      <c r="AM103" s="28" t="s">
        <v>58</v>
      </c>
    </row>
    <row r="104" spans="1:39" x14ac:dyDescent="0.3">
      <c r="A104" t="s">
        <v>93</v>
      </c>
      <c r="B104" s="32">
        <v>42167</v>
      </c>
      <c r="C104" s="6">
        <v>128.63</v>
      </c>
      <c r="D104" t="s">
        <v>91</v>
      </c>
      <c r="E104" t="s">
        <v>46</v>
      </c>
      <c r="F104" s="6">
        <v>21.44</v>
      </c>
      <c r="G104" s="5">
        <f t="shared" si="11"/>
        <v>42197</v>
      </c>
      <c r="H104" s="5">
        <f t="shared" si="12"/>
        <v>42167</v>
      </c>
      <c r="I104">
        <v>0</v>
      </c>
      <c r="J104">
        <v>36547</v>
      </c>
      <c r="K104" t="s">
        <v>229</v>
      </c>
      <c r="M104" t="s">
        <v>207</v>
      </c>
      <c r="N104" s="23" t="s">
        <v>47</v>
      </c>
      <c r="O104" s="25">
        <v>1001</v>
      </c>
      <c r="P104" s="23" t="s">
        <v>94</v>
      </c>
      <c r="Q104" s="23"/>
      <c r="R104" s="26" t="s">
        <v>50</v>
      </c>
      <c r="S104" s="23"/>
      <c r="T104" s="26" t="s">
        <v>50</v>
      </c>
      <c r="U104" s="27" t="s">
        <v>95</v>
      </c>
      <c r="V104" s="40">
        <f t="shared" si="7"/>
        <v>21.44</v>
      </c>
      <c r="W104" s="40">
        <f t="shared" si="8"/>
        <v>107.19</v>
      </c>
      <c r="X104" s="23" t="s">
        <v>92</v>
      </c>
      <c r="Y104" s="26" t="s">
        <v>50</v>
      </c>
      <c r="Z104" s="23"/>
      <c r="AA104" s="26" t="s">
        <v>50</v>
      </c>
      <c r="AB104" s="41">
        <f t="shared" si="9"/>
        <v>107.19</v>
      </c>
      <c r="AC104" s="23">
        <v>1</v>
      </c>
      <c r="AD104" s="23" t="s">
        <v>97</v>
      </c>
      <c r="AE104" s="24">
        <v>42277</v>
      </c>
      <c r="AF104" s="23" t="s">
        <v>92</v>
      </c>
      <c r="AG104" s="23">
        <f t="shared" si="10"/>
        <v>36547</v>
      </c>
      <c r="AH104" s="23"/>
      <c r="AI104" s="27" t="str">
        <f t="shared" si="13"/>
        <v>P20</v>
      </c>
      <c r="AJ104" s="23"/>
      <c r="AK104" s="23"/>
      <c r="AL104" s="26" t="s">
        <v>50</v>
      </c>
      <c r="AM104" s="28" t="s">
        <v>58</v>
      </c>
    </row>
    <row r="105" spans="1:39" x14ac:dyDescent="0.3">
      <c r="A105" t="s">
        <v>93</v>
      </c>
      <c r="B105" s="32">
        <v>42167</v>
      </c>
      <c r="C105" s="6">
        <v>82.37</v>
      </c>
      <c r="D105" t="s">
        <v>91</v>
      </c>
      <c r="E105" t="s">
        <v>46</v>
      </c>
      <c r="F105" s="6">
        <v>13.73</v>
      </c>
      <c r="G105" s="5">
        <f t="shared" si="11"/>
        <v>42197</v>
      </c>
      <c r="H105" s="5">
        <f t="shared" si="12"/>
        <v>42167</v>
      </c>
      <c r="I105">
        <v>0</v>
      </c>
      <c r="J105">
        <v>36548</v>
      </c>
      <c r="K105" t="s">
        <v>229</v>
      </c>
      <c r="M105" t="s">
        <v>208</v>
      </c>
      <c r="N105" s="23" t="s">
        <v>47</v>
      </c>
      <c r="O105" s="25">
        <v>1001</v>
      </c>
      <c r="P105" s="23" t="s">
        <v>94</v>
      </c>
      <c r="Q105" s="23"/>
      <c r="R105" s="26" t="s">
        <v>50</v>
      </c>
      <c r="S105" s="23"/>
      <c r="T105" s="26" t="s">
        <v>50</v>
      </c>
      <c r="U105" s="27" t="s">
        <v>95</v>
      </c>
      <c r="V105" s="40">
        <f t="shared" si="7"/>
        <v>13.73</v>
      </c>
      <c r="W105" s="40">
        <f t="shared" si="8"/>
        <v>68.64</v>
      </c>
      <c r="X105" s="23" t="s">
        <v>92</v>
      </c>
      <c r="Y105" s="26" t="s">
        <v>50</v>
      </c>
      <c r="Z105" s="23"/>
      <c r="AA105" s="26" t="s">
        <v>50</v>
      </c>
      <c r="AB105" s="41">
        <f t="shared" si="9"/>
        <v>68.64</v>
      </c>
      <c r="AC105" s="23">
        <v>1</v>
      </c>
      <c r="AD105" s="23" t="s">
        <v>97</v>
      </c>
      <c r="AE105" s="24">
        <v>42277</v>
      </c>
      <c r="AF105" s="23" t="s">
        <v>92</v>
      </c>
      <c r="AG105" s="23">
        <f t="shared" si="10"/>
        <v>36548</v>
      </c>
      <c r="AH105" s="23"/>
      <c r="AI105" s="27" t="str">
        <f t="shared" si="13"/>
        <v>P20</v>
      </c>
      <c r="AJ105" s="23"/>
      <c r="AK105" s="23"/>
      <c r="AL105" s="26" t="s">
        <v>50</v>
      </c>
      <c r="AM105" s="28" t="s">
        <v>58</v>
      </c>
    </row>
    <row r="106" spans="1:39" x14ac:dyDescent="0.3">
      <c r="A106" t="s">
        <v>93</v>
      </c>
      <c r="B106" s="32">
        <v>42170</v>
      </c>
      <c r="C106" s="6">
        <v>288.76</v>
      </c>
      <c r="D106" t="s">
        <v>91</v>
      </c>
      <c r="E106" t="s">
        <v>46</v>
      </c>
      <c r="F106" s="6">
        <v>33.520000000000003</v>
      </c>
      <c r="G106" s="5">
        <f t="shared" si="11"/>
        <v>42200</v>
      </c>
      <c r="H106" s="5">
        <f t="shared" si="12"/>
        <v>42170</v>
      </c>
      <c r="I106">
        <v>0</v>
      </c>
      <c r="J106">
        <v>36625</v>
      </c>
      <c r="K106" t="s">
        <v>229</v>
      </c>
      <c r="M106" t="s">
        <v>209</v>
      </c>
      <c r="N106" s="23" t="s">
        <v>47</v>
      </c>
      <c r="O106" s="25">
        <v>1001</v>
      </c>
      <c r="P106" s="23" t="s">
        <v>94</v>
      </c>
      <c r="Q106" s="23"/>
      <c r="R106" s="26" t="s">
        <v>50</v>
      </c>
      <c r="S106" s="23"/>
      <c r="T106" s="26" t="s">
        <v>50</v>
      </c>
      <c r="U106" s="27" t="s">
        <v>95</v>
      </c>
      <c r="V106" s="40">
        <f t="shared" si="7"/>
        <v>33.520000000000003</v>
      </c>
      <c r="W106" s="40">
        <f t="shared" si="8"/>
        <v>255.23999999999998</v>
      </c>
      <c r="X106" s="23" t="s">
        <v>92</v>
      </c>
      <c r="Y106" s="26" t="s">
        <v>50</v>
      </c>
      <c r="Z106" s="23"/>
      <c r="AA106" s="26" t="s">
        <v>50</v>
      </c>
      <c r="AB106" s="41">
        <f t="shared" si="9"/>
        <v>255.23999999999998</v>
      </c>
      <c r="AC106" s="23">
        <v>1</v>
      </c>
      <c r="AD106" s="23" t="s">
        <v>97</v>
      </c>
      <c r="AE106" s="24">
        <v>42277</v>
      </c>
      <c r="AF106" s="23" t="s">
        <v>92</v>
      </c>
      <c r="AG106" s="23">
        <f t="shared" si="10"/>
        <v>36625</v>
      </c>
      <c r="AH106" s="23"/>
      <c r="AI106" s="27" t="str">
        <f t="shared" si="13"/>
        <v>P20</v>
      </c>
      <c r="AJ106" s="23"/>
      <c r="AK106" s="23"/>
      <c r="AL106" s="26" t="s">
        <v>50</v>
      </c>
      <c r="AM106" s="28" t="s">
        <v>58</v>
      </c>
    </row>
    <row r="107" spans="1:39" x14ac:dyDescent="0.3">
      <c r="A107" t="s">
        <v>93</v>
      </c>
      <c r="B107" s="32">
        <v>42172</v>
      </c>
      <c r="C107" s="6">
        <v>131.44</v>
      </c>
      <c r="D107" t="s">
        <v>91</v>
      </c>
      <c r="E107" t="s">
        <v>46</v>
      </c>
      <c r="F107" s="6">
        <v>21.91</v>
      </c>
      <c r="G107" s="5">
        <f t="shared" si="11"/>
        <v>42202</v>
      </c>
      <c r="H107" s="5">
        <f t="shared" si="12"/>
        <v>42172</v>
      </c>
      <c r="I107">
        <v>0</v>
      </c>
      <c r="J107">
        <v>36630</v>
      </c>
      <c r="K107" t="s">
        <v>229</v>
      </c>
      <c r="M107" t="s">
        <v>210</v>
      </c>
      <c r="N107" s="23" t="s">
        <v>47</v>
      </c>
      <c r="O107" s="25">
        <v>1001</v>
      </c>
      <c r="P107" s="23" t="s">
        <v>94</v>
      </c>
      <c r="Q107" s="23"/>
      <c r="R107" s="26" t="s">
        <v>50</v>
      </c>
      <c r="S107" s="23"/>
      <c r="T107" s="26" t="s">
        <v>50</v>
      </c>
      <c r="U107" s="27" t="s">
        <v>95</v>
      </c>
      <c r="V107" s="40">
        <f t="shared" si="7"/>
        <v>21.91</v>
      </c>
      <c r="W107" s="40">
        <f t="shared" si="8"/>
        <v>109.53</v>
      </c>
      <c r="X107" s="23" t="s">
        <v>92</v>
      </c>
      <c r="Y107" s="26" t="s">
        <v>50</v>
      </c>
      <c r="Z107" s="23"/>
      <c r="AA107" s="26" t="s">
        <v>50</v>
      </c>
      <c r="AB107" s="41">
        <f t="shared" si="9"/>
        <v>109.53</v>
      </c>
      <c r="AC107" s="23">
        <v>1</v>
      </c>
      <c r="AD107" s="23" t="s">
        <v>97</v>
      </c>
      <c r="AE107" s="24">
        <v>42277</v>
      </c>
      <c r="AF107" s="23" t="s">
        <v>92</v>
      </c>
      <c r="AG107" s="23">
        <f t="shared" si="10"/>
        <v>36630</v>
      </c>
      <c r="AH107" s="23"/>
      <c r="AI107" s="27" t="str">
        <f t="shared" si="13"/>
        <v>P20</v>
      </c>
      <c r="AJ107" s="23"/>
      <c r="AK107" s="23"/>
      <c r="AL107" s="26" t="s">
        <v>50</v>
      </c>
      <c r="AM107" s="28" t="s">
        <v>58</v>
      </c>
    </row>
    <row r="108" spans="1:39" x14ac:dyDescent="0.3">
      <c r="A108" t="s">
        <v>93</v>
      </c>
      <c r="B108" s="32">
        <v>42173</v>
      </c>
      <c r="C108" s="6">
        <v>273.52</v>
      </c>
      <c r="D108" t="s">
        <v>91</v>
      </c>
      <c r="E108" t="s">
        <v>46</v>
      </c>
      <c r="F108" s="6">
        <v>45.58</v>
      </c>
      <c r="G108" s="5">
        <f t="shared" si="11"/>
        <v>42203</v>
      </c>
      <c r="H108" s="5">
        <f t="shared" si="12"/>
        <v>42173</v>
      </c>
      <c r="I108">
        <v>0</v>
      </c>
      <c r="J108">
        <v>36639</v>
      </c>
      <c r="K108" t="s">
        <v>229</v>
      </c>
      <c r="M108" t="s">
        <v>211</v>
      </c>
      <c r="N108" s="23" t="s">
        <v>47</v>
      </c>
      <c r="O108" s="25">
        <v>1001</v>
      </c>
      <c r="P108" s="23" t="s">
        <v>94</v>
      </c>
      <c r="Q108" s="23"/>
      <c r="R108" s="26" t="s">
        <v>50</v>
      </c>
      <c r="S108" s="23"/>
      <c r="T108" s="26" t="s">
        <v>50</v>
      </c>
      <c r="U108" s="27" t="s">
        <v>95</v>
      </c>
      <c r="V108" s="40">
        <f t="shared" si="7"/>
        <v>45.58</v>
      </c>
      <c r="W108" s="40">
        <f t="shared" si="8"/>
        <v>227.94</v>
      </c>
      <c r="X108" s="23" t="s">
        <v>92</v>
      </c>
      <c r="Y108" s="26" t="s">
        <v>50</v>
      </c>
      <c r="Z108" s="23"/>
      <c r="AA108" s="26" t="s">
        <v>50</v>
      </c>
      <c r="AB108" s="41">
        <f t="shared" si="9"/>
        <v>227.94</v>
      </c>
      <c r="AC108" s="23">
        <v>1</v>
      </c>
      <c r="AD108" s="23" t="s">
        <v>97</v>
      </c>
      <c r="AE108" s="24">
        <v>42277</v>
      </c>
      <c r="AF108" s="23" t="s">
        <v>92</v>
      </c>
      <c r="AG108" s="23">
        <f t="shared" si="10"/>
        <v>36639</v>
      </c>
      <c r="AH108" s="23"/>
      <c r="AI108" s="27" t="str">
        <f t="shared" si="13"/>
        <v>P20</v>
      </c>
      <c r="AJ108" s="23"/>
      <c r="AK108" s="23"/>
      <c r="AL108" s="26" t="s">
        <v>50</v>
      </c>
      <c r="AM108" s="28" t="s">
        <v>58</v>
      </c>
    </row>
    <row r="109" spans="1:39" x14ac:dyDescent="0.3">
      <c r="A109" t="s">
        <v>93</v>
      </c>
      <c r="B109" s="32">
        <v>42177</v>
      </c>
      <c r="C109" s="6">
        <v>154.76000000000002</v>
      </c>
      <c r="D109" t="s">
        <v>91</v>
      </c>
      <c r="E109" t="s">
        <v>46</v>
      </c>
      <c r="F109" s="6">
        <v>25.8</v>
      </c>
      <c r="G109" s="5">
        <f t="shared" si="11"/>
        <v>42207</v>
      </c>
      <c r="H109" s="5">
        <f t="shared" si="12"/>
        <v>42177</v>
      </c>
      <c r="I109">
        <v>0</v>
      </c>
      <c r="J109">
        <v>36674</v>
      </c>
      <c r="K109" t="s">
        <v>229</v>
      </c>
      <c r="M109" t="s">
        <v>212</v>
      </c>
      <c r="N109" s="23" t="s">
        <v>47</v>
      </c>
      <c r="O109" s="25">
        <v>1001</v>
      </c>
      <c r="P109" s="23" t="s">
        <v>94</v>
      </c>
      <c r="Q109" s="23"/>
      <c r="R109" s="26" t="s">
        <v>50</v>
      </c>
      <c r="S109" s="23"/>
      <c r="T109" s="26" t="s">
        <v>50</v>
      </c>
      <c r="U109" s="27" t="s">
        <v>95</v>
      </c>
      <c r="V109" s="40">
        <f t="shared" si="7"/>
        <v>25.8</v>
      </c>
      <c r="W109" s="40">
        <f t="shared" si="8"/>
        <v>128.96</v>
      </c>
      <c r="X109" s="23" t="s">
        <v>92</v>
      </c>
      <c r="Y109" s="26" t="s">
        <v>50</v>
      </c>
      <c r="Z109" s="23"/>
      <c r="AA109" s="26" t="s">
        <v>50</v>
      </c>
      <c r="AB109" s="41">
        <f t="shared" si="9"/>
        <v>128.96</v>
      </c>
      <c r="AC109" s="23">
        <v>1</v>
      </c>
      <c r="AD109" s="23" t="s">
        <v>97</v>
      </c>
      <c r="AE109" s="24">
        <v>42277</v>
      </c>
      <c r="AF109" s="23" t="s">
        <v>92</v>
      </c>
      <c r="AG109" s="23">
        <f t="shared" si="10"/>
        <v>36674</v>
      </c>
      <c r="AH109" s="23"/>
      <c r="AI109" s="27" t="str">
        <f t="shared" si="13"/>
        <v>P20</v>
      </c>
      <c r="AJ109" s="23"/>
      <c r="AK109" s="23"/>
      <c r="AL109" s="26" t="s">
        <v>50</v>
      </c>
      <c r="AM109" s="28" t="s">
        <v>58</v>
      </c>
    </row>
    <row r="110" spans="1:39" x14ac:dyDescent="0.3">
      <c r="A110" t="s">
        <v>93</v>
      </c>
      <c r="B110" s="32">
        <v>42178</v>
      </c>
      <c r="C110" s="6">
        <v>133.63</v>
      </c>
      <c r="D110" t="s">
        <v>91</v>
      </c>
      <c r="E110" t="s">
        <v>46</v>
      </c>
      <c r="F110" s="6">
        <v>22.27</v>
      </c>
      <c r="G110" s="5">
        <f t="shared" si="11"/>
        <v>42208</v>
      </c>
      <c r="H110" s="5">
        <f t="shared" si="12"/>
        <v>42178</v>
      </c>
      <c r="I110">
        <v>0</v>
      </c>
      <c r="J110">
        <v>36678</v>
      </c>
      <c r="K110" t="s">
        <v>229</v>
      </c>
      <c r="M110" t="s">
        <v>213</v>
      </c>
      <c r="N110" s="23" t="s">
        <v>47</v>
      </c>
      <c r="O110" s="25">
        <v>1001</v>
      </c>
      <c r="P110" s="23" t="s">
        <v>94</v>
      </c>
      <c r="Q110" s="23"/>
      <c r="R110" s="26" t="s">
        <v>50</v>
      </c>
      <c r="S110" s="23"/>
      <c r="T110" s="26" t="s">
        <v>50</v>
      </c>
      <c r="U110" s="27" t="s">
        <v>95</v>
      </c>
      <c r="V110" s="40">
        <f t="shared" si="7"/>
        <v>22.27</v>
      </c>
      <c r="W110" s="40">
        <f t="shared" si="8"/>
        <v>111.36</v>
      </c>
      <c r="X110" s="23" t="s">
        <v>92</v>
      </c>
      <c r="Y110" s="26" t="s">
        <v>50</v>
      </c>
      <c r="Z110" s="23"/>
      <c r="AA110" s="26" t="s">
        <v>50</v>
      </c>
      <c r="AB110" s="41">
        <f t="shared" si="9"/>
        <v>111.36</v>
      </c>
      <c r="AC110" s="23">
        <v>1</v>
      </c>
      <c r="AD110" s="23" t="s">
        <v>97</v>
      </c>
      <c r="AE110" s="24">
        <v>42277</v>
      </c>
      <c r="AF110" s="23" t="s">
        <v>92</v>
      </c>
      <c r="AG110" s="23">
        <f t="shared" si="10"/>
        <v>36678</v>
      </c>
      <c r="AH110" s="23"/>
      <c r="AI110" s="27" t="str">
        <f t="shared" si="13"/>
        <v>P20</v>
      </c>
      <c r="AJ110" s="23"/>
      <c r="AK110" s="23"/>
      <c r="AL110" s="26" t="s">
        <v>50</v>
      </c>
      <c r="AM110" s="28" t="s">
        <v>58</v>
      </c>
    </row>
    <row r="111" spans="1:39" x14ac:dyDescent="0.3">
      <c r="A111" t="s">
        <v>93</v>
      </c>
      <c r="B111" s="32">
        <v>42180</v>
      </c>
      <c r="C111" s="6">
        <v>127.6</v>
      </c>
      <c r="D111" t="s">
        <v>91</v>
      </c>
      <c r="E111" t="s">
        <v>46</v>
      </c>
      <c r="F111" s="6">
        <v>21.27</v>
      </c>
      <c r="G111" s="5">
        <f t="shared" si="11"/>
        <v>42210</v>
      </c>
      <c r="H111" s="5">
        <f t="shared" si="12"/>
        <v>42180</v>
      </c>
      <c r="I111">
        <v>0</v>
      </c>
      <c r="J111">
        <v>36686</v>
      </c>
      <c r="K111" t="s">
        <v>229</v>
      </c>
      <c r="M111" t="s">
        <v>214</v>
      </c>
      <c r="N111" s="23" t="s">
        <v>47</v>
      </c>
      <c r="O111" s="25">
        <v>1001</v>
      </c>
      <c r="P111" s="23" t="s">
        <v>94</v>
      </c>
      <c r="Q111" s="23"/>
      <c r="R111" s="26" t="s">
        <v>50</v>
      </c>
      <c r="S111" s="23"/>
      <c r="T111" s="26" t="s">
        <v>50</v>
      </c>
      <c r="U111" s="27" t="s">
        <v>95</v>
      </c>
      <c r="V111" s="40">
        <f t="shared" si="7"/>
        <v>21.27</v>
      </c>
      <c r="W111" s="40">
        <f t="shared" si="8"/>
        <v>106.33</v>
      </c>
      <c r="X111" s="23" t="s">
        <v>92</v>
      </c>
      <c r="Y111" s="26" t="s">
        <v>50</v>
      </c>
      <c r="Z111" s="23"/>
      <c r="AA111" s="26" t="s">
        <v>50</v>
      </c>
      <c r="AB111" s="41">
        <f t="shared" si="9"/>
        <v>106.33</v>
      </c>
      <c r="AC111" s="23">
        <v>1</v>
      </c>
      <c r="AD111" s="23" t="s">
        <v>97</v>
      </c>
      <c r="AE111" s="24">
        <v>42277</v>
      </c>
      <c r="AF111" s="23" t="s">
        <v>92</v>
      </c>
      <c r="AG111" s="23">
        <f t="shared" si="10"/>
        <v>36686</v>
      </c>
      <c r="AH111" s="23"/>
      <c r="AI111" s="27" t="str">
        <f t="shared" si="13"/>
        <v>P20</v>
      </c>
      <c r="AJ111" s="23"/>
      <c r="AK111" s="23"/>
      <c r="AL111" s="26" t="s">
        <v>50</v>
      </c>
      <c r="AM111" s="28" t="s">
        <v>58</v>
      </c>
    </row>
    <row r="112" spans="1:39" x14ac:dyDescent="0.3">
      <c r="A112" t="s">
        <v>93</v>
      </c>
      <c r="B112" s="32">
        <v>42180</v>
      </c>
      <c r="C112" s="6">
        <v>310.90999999999997</v>
      </c>
      <c r="D112" t="s">
        <v>91</v>
      </c>
      <c r="E112" t="s">
        <v>46</v>
      </c>
      <c r="F112" s="6">
        <v>51.82</v>
      </c>
      <c r="G112" s="5">
        <f t="shared" si="11"/>
        <v>42210</v>
      </c>
      <c r="H112" s="5">
        <f t="shared" si="12"/>
        <v>42180</v>
      </c>
      <c r="I112">
        <v>0</v>
      </c>
      <c r="J112">
        <v>36687</v>
      </c>
      <c r="K112" t="s">
        <v>229</v>
      </c>
      <c r="M112" t="s">
        <v>215</v>
      </c>
      <c r="N112" s="23" t="s">
        <v>47</v>
      </c>
      <c r="O112" s="25">
        <v>1001</v>
      </c>
      <c r="P112" s="23" t="s">
        <v>94</v>
      </c>
      <c r="Q112" s="23"/>
      <c r="R112" s="26" t="s">
        <v>50</v>
      </c>
      <c r="S112" s="23"/>
      <c r="T112" s="26" t="s">
        <v>50</v>
      </c>
      <c r="U112" s="27" t="s">
        <v>95</v>
      </c>
      <c r="V112" s="40">
        <f t="shared" si="7"/>
        <v>51.82</v>
      </c>
      <c r="W112" s="40">
        <f t="shared" si="8"/>
        <v>259.08999999999997</v>
      </c>
      <c r="X112" s="23" t="s">
        <v>92</v>
      </c>
      <c r="Y112" s="26" t="s">
        <v>50</v>
      </c>
      <c r="Z112" s="23"/>
      <c r="AA112" s="26" t="s">
        <v>50</v>
      </c>
      <c r="AB112" s="41">
        <f t="shared" si="9"/>
        <v>259.08999999999997</v>
      </c>
      <c r="AC112" s="23">
        <v>1</v>
      </c>
      <c r="AD112" s="23" t="s">
        <v>97</v>
      </c>
      <c r="AE112" s="24">
        <v>42277</v>
      </c>
      <c r="AF112" s="23" t="s">
        <v>92</v>
      </c>
      <c r="AG112" s="23">
        <f t="shared" si="10"/>
        <v>36687</v>
      </c>
      <c r="AH112" s="23"/>
      <c r="AI112" s="27" t="str">
        <f t="shared" si="13"/>
        <v>P20</v>
      </c>
      <c r="AJ112" s="23"/>
      <c r="AK112" s="23"/>
      <c r="AL112" s="26" t="s">
        <v>50</v>
      </c>
      <c r="AM112" s="28" t="s">
        <v>58</v>
      </c>
    </row>
    <row r="113" spans="1:39" x14ac:dyDescent="0.3">
      <c r="A113" t="s">
        <v>93</v>
      </c>
      <c r="B113" s="32">
        <v>42181</v>
      </c>
      <c r="C113" s="6">
        <v>113.24</v>
      </c>
      <c r="D113" t="s">
        <v>91</v>
      </c>
      <c r="E113" t="s">
        <v>46</v>
      </c>
      <c r="F113" s="6">
        <v>18.88</v>
      </c>
      <c r="G113" s="5">
        <f t="shared" si="11"/>
        <v>42211</v>
      </c>
      <c r="H113" s="5">
        <f t="shared" si="12"/>
        <v>42181</v>
      </c>
      <c r="I113">
        <v>0</v>
      </c>
      <c r="J113">
        <v>36727</v>
      </c>
      <c r="K113" t="s">
        <v>229</v>
      </c>
      <c r="M113" t="s">
        <v>216</v>
      </c>
      <c r="N113" s="23" t="s">
        <v>47</v>
      </c>
      <c r="O113" s="25">
        <v>1001</v>
      </c>
      <c r="P113" s="23" t="s">
        <v>94</v>
      </c>
      <c r="Q113" s="23"/>
      <c r="R113" s="26" t="s">
        <v>50</v>
      </c>
      <c r="S113" s="23"/>
      <c r="T113" s="26" t="s">
        <v>50</v>
      </c>
      <c r="U113" s="27" t="s">
        <v>95</v>
      </c>
      <c r="V113" s="40">
        <f t="shared" si="7"/>
        <v>18.88</v>
      </c>
      <c r="W113" s="40">
        <f t="shared" si="8"/>
        <v>94.36</v>
      </c>
      <c r="X113" s="23" t="s">
        <v>92</v>
      </c>
      <c r="Y113" s="26" t="s">
        <v>50</v>
      </c>
      <c r="Z113" s="23"/>
      <c r="AA113" s="26" t="s">
        <v>50</v>
      </c>
      <c r="AB113" s="41">
        <f t="shared" si="9"/>
        <v>94.36</v>
      </c>
      <c r="AC113" s="23">
        <v>1</v>
      </c>
      <c r="AD113" s="23" t="s">
        <v>97</v>
      </c>
      <c r="AE113" s="24">
        <v>42277</v>
      </c>
      <c r="AF113" s="23" t="s">
        <v>92</v>
      </c>
      <c r="AG113" s="23">
        <f t="shared" si="10"/>
        <v>36727</v>
      </c>
      <c r="AH113" s="23"/>
      <c r="AI113" s="27" t="str">
        <f t="shared" si="13"/>
        <v>P20</v>
      </c>
      <c r="AJ113" s="23"/>
      <c r="AK113" s="23"/>
      <c r="AL113" s="26" t="s">
        <v>50</v>
      </c>
      <c r="AM113" s="28" t="s">
        <v>58</v>
      </c>
    </row>
    <row r="114" spans="1:39" x14ac:dyDescent="0.3">
      <c r="A114" t="s">
        <v>93</v>
      </c>
      <c r="B114" s="32">
        <v>42181</v>
      </c>
      <c r="C114" s="6">
        <v>128.51</v>
      </c>
      <c r="D114" t="s">
        <v>91</v>
      </c>
      <c r="E114" t="s">
        <v>46</v>
      </c>
      <c r="F114" s="6">
        <v>21.42</v>
      </c>
      <c r="G114" s="5">
        <f t="shared" si="11"/>
        <v>42211</v>
      </c>
      <c r="H114" s="5">
        <f t="shared" si="12"/>
        <v>42181</v>
      </c>
      <c r="I114">
        <v>0</v>
      </c>
      <c r="J114">
        <v>36691</v>
      </c>
      <c r="K114" t="s">
        <v>229</v>
      </c>
      <c r="M114" t="s">
        <v>217</v>
      </c>
      <c r="N114" s="23" t="s">
        <v>47</v>
      </c>
      <c r="O114" s="25">
        <v>1001</v>
      </c>
      <c r="P114" s="23" t="s">
        <v>94</v>
      </c>
      <c r="Q114" s="23"/>
      <c r="R114" s="26" t="s">
        <v>50</v>
      </c>
      <c r="S114" s="23"/>
      <c r="T114" s="26" t="s">
        <v>50</v>
      </c>
      <c r="U114" s="27" t="s">
        <v>95</v>
      </c>
      <c r="V114" s="40">
        <f t="shared" si="7"/>
        <v>21.42</v>
      </c>
      <c r="W114" s="40">
        <f t="shared" si="8"/>
        <v>107.08999999999999</v>
      </c>
      <c r="X114" s="23" t="s">
        <v>92</v>
      </c>
      <c r="Y114" s="26" t="s">
        <v>50</v>
      </c>
      <c r="Z114" s="23"/>
      <c r="AA114" s="26" t="s">
        <v>50</v>
      </c>
      <c r="AB114" s="41">
        <f t="shared" si="9"/>
        <v>107.08999999999999</v>
      </c>
      <c r="AC114" s="23">
        <v>1</v>
      </c>
      <c r="AD114" s="23" t="s">
        <v>97</v>
      </c>
      <c r="AE114" s="24">
        <v>42277</v>
      </c>
      <c r="AF114" s="23" t="s">
        <v>92</v>
      </c>
      <c r="AG114" s="23">
        <f t="shared" si="10"/>
        <v>36691</v>
      </c>
      <c r="AH114" s="23"/>
      <c r="AI114" s="27" t="str">
        <f t="shared" si="13"/>
        <v>P20</v>
      </c>
      <c r="AJ114" s="23"/>
      <c r="AK114" s="23"/>
      <c r="AL114" s="26" t="s">
        <v>50</v>
      </c>
      <c r="AM114" s="28" t="s">
        <v>58</v>
      </c>
    </row>
    <row r="115" spans="1:39" x14ac:dyDescent="0.3">
      <c r="A115" t="s">
        <v>93</v>
      </c>
      <c r="B115" s="32">
        <v>42181</v>
      </c>
      <c r="C115" s="6">
        <v>396</v>
      </c>
      <c r="D115" t="s">
        <v>91</v>
      </c>
      <c r="E115" t="s">
        <v>46</v>
      </c>
      <c r="F115" s="6">
        <v>66</v>
      </c>
      <c r="G115" s="5">
        <f t="shared" si="11"/>
        <v>42211</v>
      </c>
      <c r="H115" s="5">
        <f t="shared" si="12"/>
        <v>42181</v>
      </c>
      <c r="I115">
        <v>0</v>
      </c>
      <c r="J115">
        <v>36690</v>
      </c>
      <c r="K115" t="s">
        <v>229</v>
      </c>
      <c r="M115" t="s">
        <v>218</v>
      </c>
      <c r="N115" s="23" t="s">
        <v>47</v>
      </c>
      <c r="O115" s="25">
        <v>1001</v>
      </c>
      <c r="P115" s="23" t="s">
        <v>94</v>
      </c>
      <c r="Q115" s="23"/>
      <c r="R115" s="26" t="s">
        <v>50</v>
      </c>
      <c r="S115" s="23"/>
      <c r="T115" s="26" t="s">
        <v>50</v>
      </c>
      <c r="U115" s="27" t="s">
        <v>95</v>
      </c>
      <c r="V115" s="40">
        <f t="shared" si="7"/>
        <v>66</v>
      </c>
      <c r="W115" s="40">
        <f t="shared" si="8"/>
        <v>330</v>
      </c>
      <c r="X115" s="23" t="s">
        <v>92</v>
      </c>
      <c r="Y115" s="26" t="s">
        <v>50</v>
      </c>
      <c r="Z115" s="23"/>
      <c r="AA115" s="26" t="s">
        <v>50</v>
      </c>
      <c r="AB115" s="41">
        <f t="shared" si="9"/>
        <v>330</v>
      </c>
      <c r="AC115" s="23">
        <v>1</v>
      </c>
      <c r="AD115" s="23" t="s">
        <v>97</v>
      </c>
      <c r="AE115" s="24">
        <v>42277</v>
      </c>
      <c r="AF115" s="23" t="s">
        <v>92</v>
      </c>
      <c r="AG115" s="23">
        <f t="shared" si="10"/>
        <v>36690</v>
      </c>
      <c r="AH115" s="23"/>
      <c r="AI115" s="27" t="str">
        <f t="shared" si="13"/>
        <v>P20</v>
      </c>
      <c r="AJ115" s="23"/>
      <c r="AK115" s="23"/>
      <c r="AL115" s="26" t="s">
        <v>50</v>
      </c>
      <c r="AM115" s="28" t="s">
        <v>58</v>
      </c>
    </row>
    <row r="116" spans="1:39" x14ac:dyDescent="0.3">
      <c r="A116" t="s">
        <v>93</v>
      </c>
      <c r="B116" s="32">
        <v>42156</v>
      </c>
      <c r="C116" s="6">
        <v>15.68</v>
      </c>
      <c r="D116" t="s">
        <v>91</v>
      </c>
      <c r="E116" t="s">
        <v>46</v>
      </c>
      <c r="F116" s="6">
        <v>2.61</v>
      </c>
      <c r="G116" s="5">
        <f t="shared" si="11"/>
        <v>42186</v>
      </c>
      <c r="H116" s="5">
        <f t="shared" si="12"/>
        <v>42156</v>
      </c>
      <c r="I116">
        <v>0</v>
      </c>
      <c r="J116">
        <v>36323</v>
      </c>
      <c r="K116" t="s">
        <v>229</v>
      </c>
      <c r="M116" t="s">
        <v>219</v>
      </c>
      <c r="N116" s="23" t="s">
        <v>47</v>
      </c>
      <c r="O116" s="25">
        <v>1001</v>
      </c>
      <c r="P116" s="23" t="s">
        <v>94</v>
      </c>
      <c r="Q116" s="23"/>
      <c r="R116" s="26" t="s">
        <v>50</v>
      </c>
      <c r="S116" s="23"/>
      <c r="T116" s="26" t="s">
        <v>50</v>
      </c>
      <c r="U116" s="27" t="s">
        <v>95</v>
      </c>
      <c r="V116" s="40">
        <f t="shared" si="7"/>
        <v>2.61</v>
      </c>
      <c r="W116" s="40">
        <f t="shared" si="8"/>
        <v>13.07</v>
      </c>
      <c r="X116" s="23" t="s">
        <v>92</v>
      </c>
      <c r="Y116" s="26" t="s">
        <v>50</v>
      </c>
      <c r="Z116" s="23"/>
      <c r="AA116" s="26" t="s">
        <v>50</v>
      </c>
      <c r="AB116" s="41">
        <f t="shared" si="9"/>
        <v>13.07</v>
      </c>
      <c r="AC116" s="23">
        <v>1</v>
      </c>
      <c r="AD116" s="23" t="s">
        <v>97</v>
      </c>
      <c r="AE116" s="24">
        <v>42277</v>
      </c>
      <c r="AF116" s="23" t="s">
        <v>92</v>
      </c>
      <c r="AG116" s="23">
        <f t="shared" si="10"/>
        <v>36323</v>
      </c>
      <c r="AH116" s="23"/>
      <c r="AI116" s="27" t="str">
        <f t="shared" si="13"/>
        <v>P20</v>
      </c>
      <c r="AJ116" s="23"/>
      <c r="AK116" s="23"/>
      <c r="AL116" s="26" t="s">
        <v>50</v>
      </c>
      <c r="AM116" s="28" t="s">
        <v>58</v>
      </c>
    </row>
    <row r="117" spans="1:39" x14ac:dyDescent="0.3">
      <c r="A117" t="s">
        <v>93</v>
      </c>
      <c r="B117" s="32">
        <v>42160</v>
      </c>
      <c r="C117" s="6">
        <v>89.9</v>
      </c>
      <c r="D117" t="s">
        <v>91</v>
      </c>
      <c r="E117" t="s">
        <v>46</v>
      </c>
      <c r="F117" s="6">
        <v>14.98</v>
      </c>
      <c r="G117" s="5">
        <f t="shared" si="11"/>
        <v>42190</v>
      </c>
      <c r="H117" s="5">
        <f t="shared" si="12"/>
        <v>42160</v>
      </c>
      <c r="I117">
        <v>0</v>
      </c>
      <c r="J117">
        <v>36419</v>
      </c>
      <c r="K117" t="s">
        <v>229</v>
      </c>
      <c r="M117" t="s">
        <v>220</v>
      </c>
      <c r="N117" s="23" t="s">
        <v>47</v>
      </c>
      <c r="O117" s="25">
        <v>1001</v>
      </c>
      <c r="P117" s="23" t="s">
        <v>94</v>
      </c>
      <c r="Q117" s="23"/>
      <c r="R117" s="26" t="s">
        <v>50</v>
      </c>
      <c r="S117" s="23"/>
      <c r="T117" s="26" t="s">
        <v>50</v>
      </c>
      <c r="U117" s="27" t="s">
        <v>95</v>
      </c>
      <c r="V117" s="40">
        <f t="shared" si="7"/>
        <v>14.98</v>
      </c>
      <c r="W117" s="40">
        <f t="shared" si="8"/>
        <v>74.92</v>
      </c>
      <c r="X117" s="23" t="s">
        <v>92</v>
      </c>
      <c r="Y117" s="26" t="s">
        <v>50</v>
      </c>
      <c r="Z117" s="23"/>
      <c r="AA117" s="26" t="s">
        <v>50</v>
      </c>
      <c r="AB117" s="41">
        <f t="shared" si="9"/>
        <v>74.92</v>
      </c>
      <c r="AC117" s="23">
        <v>1</v>
      </c>
      <c r="AD117" s="23" t="s">
        <v>97</v>
      </c>
      <c r="AE117" s="24">
        <v>42277</v>
      </c>
      <c r="AF117" s="23" t="s">
        <v>92</v>
      </c>
      <c r="AG117" s="23">
        <f t="shared" si="10"/>
        <v>36419</v>
      </c>
      <c r="AH117" s="23"/>
      <c r="AI117" s="27" t="str">
        <f t="shared" si="13"/>
        <v>P20</v>
      </c>
      <c r="AJ117" s="23"/>
      <c r="AK117" s="23"/>
      <c r="AL117" s="26" t="s">
        <v>50</v>
      </c>
      <c r="AM117" s="28" t="s">
        <v>58</v>
      </c>
    </row>
    <row r="118" spans="1:39" x14ac:dyDescent="0.3">
      <c r="A118" t="s">
        <v>93</v>
      </c>
      <c r="B118" s="32">
        <v>42160</v>
      </c>
      <c r="C118" s="6">
        <v>166.68</v>
      </c>
      <c r="D118" t="s">
        <v>91</v>
      </c>
      <c r="E118" t="s">
        <v>46</v>
      </c>
      <c r="F118" s="6">
        <v>27.78</v>
      </c>
      <c r="G118" s="5">
        <f t="shared" si="11"/>
        <v>42190</v>
      </c>
      <c r="H118" s="5">
        <f t="shared" si="12"/>
        <v>42160</v>
      </c>
      <c r="I118">
        <v>0</v>
      </c>
      <c r="J118">
        <v>36420</v>
      </c>
      <c r="K118" t="s">
        <v>229</v>
      </c>
      <c r="M118" t="s">
        <v>221</v>
      </c>
      <c r="N118" s="23" t="s">
        <v>47</v>
      </c>
      <c r="O118" s="25">
        <v>1001</v>
      </c>
      <c r="P118" s="23" t="s">
        <v>94</v>
      </c>
      <c r="Q118" s="23"/>
      <c r="R118" s="26" t="s">
        <v>50</v>
      </c>
      <c r="S118" s="23"/>
      <c r="T118" s="26" t="s">
        <v>50</v>
      </c>
      <c r="U118" s="27" t="s">
        <v>95</v>
      </c>
      <c r="V118" s="40">
        <f t="shared" si="7"/>
        <v>27.78</v>
      </c>
      <c r="W118" s="40">
        <f t="shared" si="8"/>
        <v>138.9</v>
      </c>
      <c r="X118" s="23" t="s">
        <v>92</v>
      </c>
      <c r="Y118" s="26" t="s">
        <v>50</v>
      </c>
      <c r="Z118" s="23"/>
      <c r="AA118" s="26" t="s">
        <v>50</v>
      </c>
      <c r="AB118" s="41">
        <f t="shared" si="9"/>
        <v>138.9</v>
      </c>
      <c r="AC118" s="23">
        <v>1</v>
      </c>
      <c r="AD118" s="23" t="s">
        <v>97</v>
      </c>
      <c r="AE118" s="24">
        <v>42277</v>
      </c>
      <c r="AF118" s="23" t="s">
        <v>92</v>
      </c>
      <c r="AG118" s="23">
        <f t="shared" si="10"/>
        <v>36420</v>
      </c>
      <c r="AH118" s="23"/>
      <c r="AI118" s="27" t="str">
        <f t="shared" si="13"/>
        <v>P20</v>
      </c>
      <c r="AJ118" s="23"/>
      <c r="AK118" s="23"/>
      <c r="AL118" s="26" t="s">
        <v>50</v>
      </c>
      <c r="AM118" s="28" t="s">
        <v>58</v>
      </c>
    </row>
    <row r="119" spans="1:39" x14ac:dyDescent="0.3">
      <c r="A119" t="s">
        <v>93</v>
      </c>
      <c r="B119" s="32">
        <v>42165</v>
      </c>
      <c r="C119" s="6">
        <v>170.2</v>
      </c>
      <c r="D119" t="s">
        <v>91</v>
      </c>
      <c r="E119" t="s">
        <v>46</v>
      </c>
      <c r="F119" s="6">
        <v>28.36</v>
      </c>
      <c r="G119" s="5">
        <f t="shared" si="11"/>
        <v>42195</v>
      </c>
      <c r="H119" s="5">
        <f t="shared" si="12"/>
        <v>42165</v>
      </c>
      <c r="I119">
        <v>0</v>
      </c>
      <c r="J119">
        <v>36488</v>
      </c>
      <c r="K119" t="s">
        <v>229</v>
      </c>
      <c r="M119" t="s">
        <v>222</v>
      </c>
      <c r="N119" s="23" t="s">
        <v>47</v>
      </c>
      <c r="O119" s="25">
        <v>1001</v>
      </c>
      <c r="P119" s="23" t="s">
        <v>94</v>
      </c>
      <c r="Q119" s="23"/>
      <c r="R119" s="26" t="s">
        <v>50</v>
      </c>
      <c r="S119" s="23"/>
      <c r="T119" s="26" t="s">
        <v>50</v>
      </c>
      <c r="U119" s="27" t="s">
        <v>95</v>
      </c>
      <c r="V119" s="40">
        <f t="shared" si="7"/>
        <v>28.36</v>
      </c>
      <c r="W119" s="40">
        <f t="shared" si="8"/>
        <v>141.83999999999997</v>
      </c>
      <c r="X119" s="23" t="s">
        <v>92</v>
      </c>
      <c r="Y119" s="26" t="s">
        <v>50</v>
      </c>
      <c r="Z119" s="23"/>
      <c r="AA119" s="26" t="s">
        <v>50</v>
      </c>
      <c r="AB119" s="41">
        <f t="shared" si="9"/>
        <v>141.83999999999997</v>
      </c>
      <c r="AC119" s="23">
        <v>1</v>
      </c>
      <c r="AD119" s="23" t="s">
        <v>97</v>
      </c>
      <c r="AE119" s="24">
        <v>42277</v>
      </c>
      <c r="AF119" s="23" t="s">
        <v>92</v>
      </c>
      <c r="AG119" s="23">
        <f t="shared" si="10"/>
        <v>36488</v>
      </c>
      <c r="AH119" s="23"/>
      <c r="AI119" s="27" t="str">
        <f t="shared" si="13"/>
        <v>P20</v>
      </c>
      <c r="AJ119" s="23"/>
      <c r="AK119" s="23"/>
      <c r="AL119" s="26" t="s">
        <v>50</v>
      </c>
      <c r="AM119" s="28" t="s">
        <v>58</v>
      </c>
    </row>
    <row r="120" spans="1:39" x14ac:dyDescent="0.3">
      <c r="A120" t="s">
        <v>93</v>
      </c>
      <c r="B120" s="32">
        <v>42166</v>
      </c>
      <c r="C120" s="6">
        <v>53.23</v>
      </c>
      <c r="D120" t="s">
        <v>91</v>
      </c>
      <c r="E120" t="s">
        <v>46</v>
      </c>
      <c r="F120" s="6">
        <v>8.8699999999999992</v>
      </c>
      <c r="G120" s="5">
        <f t="shared" si="11"/>
        <v>42196</v>
      </c>
      <c r="H120" s="5">
        <f t="shared" si="12"/>
        <v>42166</v>
      </c>
      <c r="I120">
        <v>0</v>
      </c>
      <c r="J120">
        <v>36492</v>
      </c>
      <c r="K120" t="s">
        <v>229</v>
      </c>
      <c r="M120" t="s">
        <v>223</v>
      </c>
      <c r="N120" s="23" t="s">
        <v>47</v>
      </c>
      <c r="O120" s="25">
        <v>1001</v>
      </c>
      <c r="P120" s="23" t="s">
        <v>94</v>
      </c>
      <c r="Q120" s="23"/>
      <c r="R120" s="26" t="s">
        <v>50</v>
      </c>
      <c r="S120" s="23"/>
      <c r="T120" s="26" t="s">
        <v>50</v>
      </c>
      <c r="U120" s="27" t="s">
        <v>95</v>
      </c>
      <c r="V120" s="40">
        <f t="shared" si="7"/>
        <v>8.8699999999999992</v>
      </c>
      <c r="W120" s="40">
        <f t="shared" si="8"/>
        <v>44.36</v>
      </c>
      <c r="X120" s="23" t="s">
        <v>92</v>
      </c>
      <c r="Y120" s="26" t="s">
        <v>50</v>
      </c>
      <c r="Z120" s="23"/>
      <c r="AA120" s="26" t="s">
        <v>50</v>
      </c>
      <c r="AB120" s="41">
        <f t="shared" si="9"/>
        <v>44.36</v>
      </c>
      <c r="AC120" s="23">
        <v>1</v>
      </c>
      <c r="AD120" s="23" t="s">
        <v>97</v>
      </c>
      <c r="AE120" s="24">
        <v>42277</v>
      </c>
      <c r="AF120" s="23" t="s">
        <v>92</v>
      </c>
      <c r="AG120" s="23">
        <f t="shared" si="10"/>
        <v>36492</v>
      </c>
      <c r="AH120" s="23"/>
      <c r="AI120" s="27" t="str">
        <f t="shared" si="13"/>
        <v>P20</v>
      </c>
      <c r="AJ120" s="23"/>
      <c r="AK120" s="23"/>
      <c r="AL120" s="26" t="s">
        <v>50</v>
      </c>
      <c r="AM120" s="28" t="s">
        <v>58</v>
      </c>
    </row>
    <row r="121" spans="1:39" x14ac:dyDescent="0.3">
      <c r="A121" t="s">
        <v>93</v>
      </c>
      <c r="B121" s="32">
        <v>42172</v>
      </c>
      <c r="C121" s="6">
        <v>88.19</v>
      </c>
      <c r="D121" t="s">
        <v>91</v>
      </c>
      <c r="E121" t="s">
        <v>46</v>
      </c>
      <c r="F121" s="6">
        <v>14.7</v>
      </c>
      <c r="G121" s="5">
        <f t="shared" si="11"/>
        <v>42202</v>
      </c>
      <c r="H121" s="5">
        <f t="shared" si="12"/>
        <v>42172</v>
      </c>
      <c r="I121">
        <v>0</v>
      </c>
      <c r="J121">
        <v>36632</v>
      </c>
      <c r="K121" t="s">
        <v>229</v>
      </c>
      <c r="M121" t="s">
        <v>224</v>
      </c>
      <c r="N121" s="23" t="s">
        <v>47</v>
      </c>
      <c r="O121" s="25">
        <v>1001</v>
      </c>
      <c r="P121" s="23" t="s">
        <v>94</v>
      </c>
      <c r="Q121" s="23"/>
      <c r="R121" s="26" t="s">
        <v>50</v>
      </c>
      <c r="S121" s="23"/>
      <c r="T121" s="26" t="s">
        <v>50</v>
      </c>
      <c r="U121" s="27" t="s">
        <v>95</v>
      </c>
      <c r="V121" s="40">
        <f t="shared" si="7"/>
        <v>14.7</v>
      </c>
      <c r="W121" s="40">
        <f t="shared" si="8"/>
        <v>73.489999999999995</v>
      </c>
      <c r="X121" s="23" t="s">
        <v>92</v>
      </c>
      <c r="Y121" s="26" t="s">
        <v>50</v>
      </c>
      <c r="Z121" s="23"/>
      <c r="AA121" s="26" t="s">
        <v>50</v>
      </c>
      <c r="AB121" s="41">
        <f t="shared" si="9"/>
        <v>73.489999999999995</v>
      </c>
      <c r="AC121" s="23">
        <v>1</v>
      </c>
      <c r="AD121" s="23" t="s">
        <v>97</v>
      </c>
      <c r="AE121" s="24">
        <v>42277</v>
      </c>
      <c r="AF121" s="23" t="s">
        <v>92</v>
      </c>
      <c r="AG121" s="23">
        <f t="shared" si="10"/>
        <v>36632</v>
      </c>
      <c r="AH121" s="23"/>
      <c r="AI121" s="27" t="str">
        <f t="shared" si="13"/>
        <v>P20</v>
      </c>
      <c r="AJ121" s="23"/>
      <c r="AK121" s="23"/>
      <c r="AL121" s="26" t="s">
        <v>50</v>
      </c>
      <c r="AM121" s="28" t="s">
        <v>58</v>
      </c>
    </row>
    <row r="122" spans="1:39" x14ac:dyDescent="0.3">
      <c r="A122" t="s">
        <v>93</v>
      </c>
      <c r="B122" s="32">
        <v>42178</v>
      </c>
      <c r="C122" s="6">
        <v>175.57</v>
      </c>
      <c r="D122" t="s">
        <v>91</v>
      </c>
      <c r="E122" t="s">
        <v>46</v>
      </c>
      <c r="F122" s="6">
        <v>29.26</v>
      </c>
      <c r="G122" s="5">
        <f t="shared" si="11"/>
        <v>42208</v>
      </c>
      <c r="H122" s="5">
        <f t="shared" si="12"/>
        <v>42178</v>
      </c>
      <c r="I122">
        <v>0</v>
      </c>
      <c r="J122">
        <v>37791</v>
      </c>
      <c r="K122" t="s">
        <v>229</v>
      </c>
      <c r="M122" t="s">
        <v>225</v>
      </c>
      <c r="N122" s="23" t="s">
        <v>47</v>
      </c>
      <c r="O122" s="25">
        <v>1001</v>
      </c>
      <c r="P122" s="23" t="s">
        <v>94</v>
      </c>
      <c r="Q122" s="23"/>
      <c r="R122" s="26" t="s">
        <v>50</v>
      </c>
      <c r="S122" s="23"/>
      <c r="T122" s="26" t="s">
        <v>50</v>
      </c>
      <c r="U122" s="27" t="s">
        <v>95</v>
      </c>
      <c r="V122" s="40">
        <f t="shared" si="7"/>
        <v>29.26</v>
      </c>
      <c r="W122" s="40">
        <f t="shared" si="8"/>
        <v>146.31</v>
      </c>
      <c r="X122" s="23" t="s">
        <v>92</v>
      </c>
      <c r="Y122" s="26" t="s">
        <v>50</v>
      </c>
      <c r="Z122" s="23"/>
      <c r="AA122" s="26" t="s">
        <v>50</v>
      </c>
      <c r="AB122" s="41">
        <f t="shared" si="9"/>
        <v>146.31</v>
      </c>
      <c r="AC122" s="23">
        <v>1</v>
      </c>
      <c r="AD122" s="23" t="s">
        <v>97</v>
      </c>
      <c r="AE122" s="24">
        <v>42277</v>
      </c>
      <c r="AF122" s="23" t="s">
        <v>92</v>
      </c>
      <c r="AG122" s="23">
        <f t="shared" si="10"/>
        <v>37791</v>
      </c>
      <c r="AH122" s="23"/>
      <c r="AI122" s="27" t="str">
        <f t="shared" si="13"/>
        <v>P20</v>
      </c>
      <c r="AJ122" s="23"/>
      <c r="AK122" s="23"/>
      <c r="AL122" s="26" t="s">
        <v>50</v>
      </c>
      <c r="AM122" s="28" t="s">
        <v>58</v>
      </c>
    </row>
    <row r="123" spans="1:39" x14ac:dyDescent="0.3">
      <c r="A123" t="s">
        <v>93</v>
      </c>
      <c r="B123" s="32">
        <v>42185</v>
      </c>
      <c r="C123" s="6">
        <v>187.92</v>
      </c>
      <c r="D123" t="s">
        <v>91</v>
      </c>
      <c r="E123" t="s">
        <v>46</v>
      </c>
      <c r="F123" s="6">
        <v>31.32</v>
      </c>
      <c r="G123" s="5">
        <f t="shared" si="11"/>
        <v>42215</v>
      </c>
      <c r="H123" s="5">
        <f t="shared" si="12"/>
        <v>42185</v>
      </c>
      <c r="I123">
        <v>0</v>
      </c>
      <c r="J123">
        <v>36774</v>
      </c>
      <c r="K123" t="s">
        <v>229</v>
      </c>
      <c r="M123" t="s">
        <v>226</v>
      </c>
      <c r="N123" s="23" t="s">
        <v>47</v>
      </c>
      <c r="O123" s="25">
        <v>1001</v>
      </c>
      <c r="P123" s="23" t="s">
        <v>94</v>
      </c>
      <c r="Q123" s="23"/>
      <c r="R123" s="26" t="s">
        <v>50</v>
      </c>
      <c r="S123" s="23"/>
      <c r="T123" s="26" t="s">
        <v>50</v>
      </c>
      <c r="U123" s="27" t="s">
        <v>95</v>
      </c>
      <c r="V123" s="40">
        <f t="shared" si="7"/>
        <v>31.32</v>
      </c>
      <c r="W123" s="40">
        <f t="shared" si="8"/>
        <v>156.6</v>
      </c>
      <c r="X123" s="23" t="s">
        <v>92</v>
      </c>
      <c r="Y123" s="26" t="s">
        <v>50</v>
      </c>
      <c r="Z123" s="23"/>
      <c r="AA123" s="26" t="s">
        <v>50</v>
      </c>
      <c r="AB123" s="41">
        <f t="shared" si="9"/>
        <v>156.6</v>
      </c>
      <c r="AC123" s="23">
        <v>1</v>
      </c>
      <c r="AD123" s="23" t="s">
        <v>97</v>
      </c>
      <c r="AE123" s="24">
        <v>42277</v>
      </c>
      <c r="AF123" s="23" t="s">
        <v>92</v>
      </c>
      <c r="AG123" s="23">
        <f t="shared" si="10"/>
        <v>36774</v>
      </c>
      <c r="AH123" s="23"/>
      <c r="AI123" s="27" t="str">
        <f t="shared" si="13"/>
        <v>P20</v>
      </c>
      <c r="AJ123" s="23"/>
      <c r="AK123" s="23"/>
      <c r="AL123" s="26" t="s">
        <v>50</v>
      </c>
      <c r="AM123" s="28" t="s">
        <v>58</v>
      </c>
    </row>
    <row r="124" spans="1:39" x14ac:dyDescent="0.3">
      <c r="A124" t="s">
        <v>93</v>
      </c>
      <c r="B124" s="32">
        <v>42171</v>
      </c>
      <c r="C124" s="6">
        <v>425.52000000000004</v>
      </c>
      <c r="D124" t="s">
        <v>91</v>
      </c>
      <c r="E124" t="s">
        <v>46</v>
      </c>
      <c r="F124" s="6">
        <v>70.92</v>
      </c>
      <c r="G124" s="5">
        <f t="shared" si="11"/>
        <v>42201</v>
      </c>
      <c r="H124" s="5">
        <f t="shared" si="12"/>
        <v>42171</v>
      </c>
      <c r="I124">
        <v>0</v>
      </c>
      <c r="J124">
        <v>36627</v>
      </c>
      <c r="K124" t="s">
        <v>229</v>
      </c>
      <c r="M124" t="s">
        <v>227</v>
      </c>
      <c r="N124" s="23" t="s">
        <v>47</v>
      </c>
      <c r="O124" s="25">
        <v>1001</v>
      </c>
      <c r="P124" s="23" t="s">
        <v>94</v>
      </c>
      <c r="Q124" s="23"/>
      <c r="R124" s="26" t="s">
        <v>50</v>
      </c>
      <c r="S124" s="23"/>
      <c r="T124" s="26" t="s">
        <v>50</v>
      </c>
      <c r="U124" s="27" t="s">
        <v>95</v>
      </c>
      <c r="V124" s="40">
        <f t="shared" si="7"/>
        <v>70.92</v>
      </c>
      <c r="W124" s="40">
        <f t="shared" si="8"/>
        <v>354.6</v>
      </c>
      <c r="X124" s="23" t="s">
        <v>92</v>
      </c>
      <c r="Y124" s="26" t="s">
        <v>50</v>
      </c>
      <c r="Z124" s="23"/>
      <c r="AA124" s="26" t="s">
        <v>50</v>
      </c>
      <c r="AB124" s="41">
        <f t="shared" si="9"/>
        <v>354.6</v>
      </c>
      <c r="AC124" s="23">
        <v>1</v>
      </c>
      <c r="AD124" s="23" t="s">
        <v>97</v>
      </c>
      <c r="AE124" s="24">
        <v>42277</v>
      </c>
      <c r="AF124" s="23" t="s">
        <v>92</v>
      </c>
      <c r="AG124" s="23">
        <f t="shared" si="10"/>
        <v>36627</v>
      </c>
      <c r="AH124" s="23"/>
      <c r="AI124" s="27" t="str">
        <f t="shared" si="13"/>
        <v>P20</v>
      </c>
      <c r="AJ124" s="23"/>
      <c r="AK124" s="23"/>
      <c r="AL124" s="26" t="s">
        <v>50</v>
      </c>
      <c r="AM124" s="28" t="s">
        <v>58</v>
      </c>
    </row>
    <row r="125" spans="1:39" x14ac:dyDescent="0.3">
      <c r="A125" t="s">
        <v>93</v>
      </c>
      <c r="B125" s="32">
        <v>42167</v>
      </c>
      <c r="C125" s="6">
        <v>539.82000000000005</v>
      </c>
      <c r="D125" t="s">
        <v>91</v>
      </c>
      <c r="E125" t="s">
        <v>46</v>
      </c>
      <c r="F125" s="6">
        <v>89.97</v>
      </c>
      <c r="G125" s="5">
        <f t="shared" si="11"/>
        <v>42197</v>
      </c>
      <c r="H125" s="5">
        <f t="shared" si="12"/>
        <v>42167</v>
      </c>
      <c r="I125">
        <v>0</v>
      </c>
      <c r="J125">
        <v>36545</v>
      </c>
      <c r="K125" t="s">
        <v>229</v>
      </c>
      <c r="M125" t="s">
        <v>228</v>
      </c>
      <c r="N125" s="23" t="s">
        <v>47</v>
      </c>
      <c r="O125" s="25">
        <v>1001</v>
      </c>
      <c r="P125" s="23" t="s">
        <v>94</v>
      </c>
      <c r="Q125" s="23"/>
      <c r="R125" s="26" t="s">
        <v>50</v>
      </c>
      <c r="S125" s="23"/>
      <c r="T125" s="26" t="s">
        <v>50</v>
      </c>
      <c r="U125" s="27" t="s">
        <v>95</v>
      </c>
      <c r="V125" s="40">
        <f t="shared" si="7"/>
        <v>89.97</v>
      </c>
      <c r="W125" s="40">
        <f t="shared" si="8"/>
        <v>449.85</v>
      </c>
      <c r="X125" s="23" t="s">
        <v>92</v>
      </c>
      <c r="Y125" s="26" t="s">
        <v>50</v>
      </c>
      <c r="Z125" s="23"/>
      <c r="AA125" s="26" t="s">
        <v>50</v>
      </c>
      <c r="AB125" s="41">
        <f t="shared" si="9"/>
        <v>449.85</v>
      </c>
      <c r="AC125" s="23">
        <v>1</v>
      </c>
      <c r="AD125" s="23" t="s">
        <v>97</v>
      </c>
      <c r="AE125" s="24">
        <v>42277</v>
      </c>
      <c r="AF125" s="23" t="s">
        <v>92</v>
      </c>
      <c r="AG125" s="23">
        <f t="shared" si="10"/>
        <v>36545</v>
      </c>
      <c r="AH125" s="23"/>
      <c r="AI125" s="27" t="str">
        <f t="shared" si="13"/>
        <v>P20</v>
      </c>
      <c r="AJ125" s="23"/>
      <c r="AK125" s="23"/>
      <c r="AL125" s="26" t="s">
        <v>50</v>
      </c>
      <c r="AM125" s="28" t="s">
        <v>58</v>
      </c>
    </row>
  </sheetData>
  <autoFilter ref="A1:AM54">
    <filterColumn colId="29">
      <filters>
        <filter val="1001.L730.L"/>
        <filter val="1001.M640.M"/>
        <filter val="1001.P940.P"/>
        <filter val="1001.X540.X"/>
        <filter val="1001.X710.X"/>
      </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51</vt:i4>
      </vt:variant>
    </vt:vector>
  </HeadingPairs>
  <TitlesOfParts>
    <vt:vector size="55" baseType="lpstr">
      <vt:lpstr>open_pinv</vt:lpstr>
      <vt:lpstr>LOAD</vt:lpstr>
      <vt:lpstr>Format</vt:lpstr>
      <vt:lpstr>Sample</vt:lpstr>
      <vt:lpstr>Sample!ain_amount</vt:lpstr>
      <vt:lpstr>ain_amount</vt:lpstr>
      <vt:lpstr>Sample!ain_desc</vt:lpstr>
      <vt:lpstr>ain_desc</vt:lpstr>
      <vt:lpstr>Sample!ain_discamt</vt:lpstr>
      <vt:lpstr>ain_discamt</vt:lpstr>
      <vt:lpstr>Sample!ain_discdt</vt:lpstr>
      <vt:lpstr>ain_discdt</vt:lpstr>
      <vt:lpstr>Sample!ain_disttype</vt:lpstr>
      <vt:lpstr>ain_disttype</vt:lpstr>
      <vt:lpstr>Sample!ain_duedt</vt:lpstr>
      <vt:lpstr>ain_duedt</vt:lpstr>
      <vt:lpstr>Sample!ain_fdate</vt:lpstr>
      <vt:lpstr>ain_fdate</vt:lpstr>
      <vt:lpstr>Sample!ain_idate</vt:lpstr>
      <vt:lpstr>ain_idate</vt:lpstr>
      <vt:lpstr>Sample!ain_netamt</vt:lpstr>
      <vt:lpstr>ain_netamt</vt:lpstr>
      <vt:lpstr>Sample!ain_supref</vt:lpstr>
      <vt:lpstr>ain_supref</vt:lpstr>
      <vt:lpstr>Sample!ain_taxamt</vt:lpstr>
      <vt:lpstr>ain_taxamt</vt:lpstr>
      <vt:lpstr>Sample!anal</vt:lpstr>
      <vt:lpstr>anal</vt:lpstr>
      <vt:lpstr>Sample!anal_type</vt:lpstr>
      <vt:lpstr>anal_type</vt:lpstr>
      <vt:lpstr>Sample!avm_num</vt:lpstr>
      <vt:lpstr>avm_num</vt:lpstr>
      <vt:lpstr>Sample!coj_type</vt:lpstr>
      <vt:lpstr>coj_type</vt:lpstr>
      <vt:lpstr>Sample!cur_code</vt:lpstr>
      <vt:lpstr>cur_code</vt:lpstr>
      <vt:lpstr>Sample!job_num</vt:lpstr>
      <vt:lpstr>job_num</vt:lpstr>
      <vt:lpstr>Sample!new_ain_hcode</vt:lpstr>
      <vt:lpstr>new_ain_hcode</vt:lpstr>
      <vt:lpstr>Sample!ohd_num</vt:lpstr>
      <vt:lpstr>ohd_num</vt:lpstr>
      <vt:lpstr>Sample!P20_</vt:lpstr>
      <vt:lpstr>P20_</vt:lpstr>
      <vt:lpstr>Quotes</vt:lpstr>
      <vt:lpstr>Sample!source</vt:lpstr>
      <vt:lpstr>source</vt:lpstr>
      <vt:lpstr>Sample!summ</vt:lpstr>
      <vt:lpstr>summ</vt:lpstr>
      <vt:lpstr>Sample!summ2</vt:lpstr>
      <vt:lpstr>summ2</vt:lpstr>
      <vt:lpstr>Sample!tax_code</vt:lpstr>
      <vt:lpstr>tax_code</vt:lpstr>
      <vt:lpstr>Sample!vat_code</vt:lpstr>
      <vt:lpstr>vat_code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Dhruv Bhagat</dc:creator>
  <cp:lastModifiedBy>Nigel Longley</cp:lastModifiedBy>
  <dcterms:created xsi:type="dcterms:W3CDTF">2015-07-27T12:01:24Z</dcterms:created>
  <dcterms:modified xsi:type="dcterms:W3CDTF">2015-11-26T12:09:22Z</dcterms:modified>
</cp:coreProperties>
</file>